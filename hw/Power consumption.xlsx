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en\Daniel\ele\bat_source\hw\"/>
    </mc:Choice>
  </mc:AlternateContent>
  <xr:revisionPtr revIDLastSave="0" documentId="13_ncr:1_{85F5B022-F205-44F9-B427-CD2E5FDE734F}" xr6:coauthVersionLast="47" xr6:coauthVersionMax="47" xr10:uidLastSave="{00000000-0000-0000-0000-000000000000}"/>
  <bookViews>
    <workbookView xWindow="2340" yWindow="2340" windowWidth="21600" windowHeight="12495" xr2:uid="{D582919A-8924-49EB-9890-B6EC46E51D6F}"/>
  </bookViews>
  <sheets>
    <sheet name="Power consumption Overview" sheetId="1" r:id="rId1"/>
    <sheet name="VCC" sheetId="6" r:id="rId2"/>
    <sheet name="+15V" sheetId="2" r:id="rId3"/>
    <sheet name="+3V3" sheetId="3" r:id="rId4"/>
    <sheet name="+5V" sheetId="4" r:id="rId5"/>
    <sheet name="+3V3_A" sheetId="5" r:id="rId6"/>
    <sheet name="+3V3_UI" sheetId="7" r:id="rId7"/>
    <sheet name="VLED" sheetId="8" r:id="rId8"/>
    <sheet name="+3V3_STBY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3" i="1"/>
  <c r="B3" i="1"/>
  <c r="D2" i="10"/>
  <c r="H3" i="10"/>
  <c r="M3" i="10" s="1"/>
  <c r="I3" i="10"/>
  <c r="D3" i="10"/>
  <c r="D2" i="6"/>
  <c r="D3" i="6" s="1"/>
  <c r="H4" i="8"/>
  <c r="I4" i="8"/>
  <c r="D5" i="8"/>
  <c r="H5" i="8"/>
  <c r="M5" i="8" s="1"/>
  <c r="I5" i="8"/>
  <c r="N5" i="8" s="1"/>
  <c r="H6" i="8"/>
  <c r="I6" i="8"/>
  <c r="D2" i="8"/>
  <c r="D6" i="8" s="1"/>
  <c r="D2" i="7"/>
  <c r="D3" i="7" s="1"/>
  <c r="I3" i="8"/>
  <c r="H3" i="8"/>
  <c r="D3" i="8"/>
  <c r="I3" i="7"/>
  <c r="I2" i="7" s="1"/>
  <c r="H3" i="7"/>
  <c r="H2" i="7" s="1"/>
  <c r="D2" i="5"/>
  <c r="D17" i="5" s="1"/>
  <c r="D2" i="4"/>
  <c r="D3" i="4" s="1"/>
  <c r="D2" i="3"/>
  <c r="D3" i="3" s="1"/>
  <c r="D2" i="2"/>
  <c r="D3" i="2" s="1"/>
  <c r="I3" i="6"/>
  <c r="I2" i="6" s="1"/>
  <c r="H3" i="6"/>
  <c r="H2" i="6" s="1"/>
  <c r="D16" i="5"/>
  <c r="D18" i="5"/>
  <c r="H3" i="2"/>
  <c r="I3" i="2"/>
  <c r="H3" i="3"/>
  <c r="I3" i="3"/>
  <c r="I3" i="4"/>
  <c r="I2" i="4" s="1"/>
  <c r="H3" i="4"/>
  <c r="H2" i="4" s="1"/>
  <c r="D6" i="1" a="1"/>
  <c r="D8" i="1" a="1"/>
  <c r="C6" i="1" a="1"/>
  <c r="D3" i="1" a="1"/>
  <c r="C3" i="1" a="1"/>
  <c r="C8" i="1" a="1"/>
  <c r="C3" i="1" l="1"/>
  <c r="D3" i="1"/>
  <c r="D7" i="5"/>
  <c r="D4" i="5"/>
  <c r="H4" i="5" s="1"/>
  <c r="J4" i="5" s="1"/>
  <c r="O4" i="5" s="1"/>
  <c r="D4" i="8"/>
  <c r="K4" i="8" s="1"/>
  <c r="P4" i="8" s="1"/>
  <c r="D15" i="5"/>
  <c r="D8" i="5"/>
  <c r="J3" i="3"/>
  <c r="K3" i="7"/>
  <c r="P3" i="7" s="1"/>
  <c r="P2" i="7" s="1"/>
  <c r="K6" i="8"/>
  <c r="P6" i="8" s="1"/>
  <c r="D3" i="5"/>
  <c r="D22" i="5"/>
  <c r="J6" i="8"/>
  <c r="O6" i="8" s="1"/>
  <c r="D21" i="5"/>
  <c r="H21" i="5" s="1"/>
  <c r="J21" i="5" s="1"/>
  <c r="O21" i="5" s="1"/>
  <c r="D8" i="1"/>
  <c r="D6" i="1"/>
  <c r="C8" i="1"/>
  <c r="C6" i="1"/>
  <c r="K3" i="10"/>
  <c r="P3" i="10" s="1"/>
  <c r="N3" i="10"/>
  <c r="J3" i="10"/>
  <c r="J5" i="8"/>
  <c r="O5" i="8" s="1"/>
  <c r="N4" i="8"/>
  <c r="M4" i="8"/>
  <c r="K5" i="8"/>
  <c r="P5" i="8" s="1"/>
  <c r="N6" i="8"/>
  <c r="M6" i="8"/>
  <c r="H2" i="8"/>
  <c r="I2" i="8"/>
  <c r="K3" i="8"/>
  <c r="P3" i="8" s="1"/>
  <c r="J3" i="8"/>
  <c r="M3" i="8"/>
  <c r="N3" i="8"/>
  <c r="J3" i="7"/>
  <c r="M3" i="7"/>
  <c r="M2" i="7" s="1"/>
  <c r="N3" i="7"/>
  <c r="N2" i="7" s="1"/>
  <c r="D28" i="5"/>
  <c r="D14" i="5"/>
  <c r="H14" i="5" s="1"/>
  <c r="M14" i="5" s="1"/>
  <c r="D27" i="5"/>
  <c r="D13" i="5"/>
  <c r="I13" i="5" s="1"/>
  <c r="N13" i="5" s="1"/>
  <c r="D26" i="5"/>
  <c r="D12" i="5"/>
  <c r="D25" i="5"/>
  <c r="D11" i="5"/>
  <c r="I11" i="5" s="1"/>
  <c r="K11" i="5" s="1"/>
  <c r="P11" i="5" s="1"/>
  <c r="D24" i="5"/>
  <c r="D10" i="5"/>
  <c r="H10" i="5" s="1"/>
  <c r="J10" i="5" s="1"/>
  <c r="O10" i="5" s="1"/>
  <c r="D23" i="5"/>
  <c r="D9" i="5"/>
  <c r="D20" i="5"/>
  <c r="D6" i="5"/>
  <c r="D19" i="5"/>
  <c r="D5" i="5"/>
  <c r="I5" i="5" s="1"/>
  <c r="N5" i="5" s="1"/>
  <c r="J3" i="6"/>
  <c r="J2" i="6" s="1"/>
  <c r="K3" i="6"/>
  <c r="J3" i="2"/>
  <c r="J2" i="2" s="1"/>
  <c r="M3" i="6"/>
  <c r="M2" i="6" s="1"/>
  <c r="N3" i="6"/>
  <c r="N2" i="6" s="1"/>
  <c r="J3" i="4"/>
  <c r="J2" i="4" s="1"/>
  <c r="K3" i="4"/>
  <c r="P3" i="4" s="1"/>
  <c r="P2" i="4" s="1"/>
  <c r="M3" i="4"/>
  <c r="M2" i="4" s="1"/>
  <c r="H2" i="3"/>
  <c r="M3" i="3"/>
  <c r="M2" i="3" s="1"/>
  <c r="H2" i="2"/>
  <c r="M3" i="2"/>
  <c r="M2" i="2" s="1"/>
  <c r="I2" i="2"/>
  <c r="N3" i="2"/>
  <c r="N2" i="2" s="1"/>
  <c r="K3" i="2"/>
  <c r="I2" i="3"/>
  <c r="N3" i="3"/>
  <c r="N2" i="3" s="1"/>
  <c r="K3" i="3"/>
  <c r="J2" i="3"/>
  <c r="O3" i="3"/>
  <c r="O2" i="3" s="1"/>
  <c r="K2" i="4"/>
  <c r="N3" i="4"/>
  <c r="N2" i="4" s="1"/>
  <c r="O3" i="4"/>
  <c r="O2" i="4" s="1"/>
  <c r="G28" i="5"/>
  <c r="G27" i="5"/>
  <c r="G26" i="5"/>
  <c r="G25" i="5"/>
  <c r="G23" i="5"/>
  <c r="I23" i="5" s="1"/>
  <c r="K23" i="5" s="1"/>
  <c r="P23" i="5" s="1"/>
  <c r="G20" i="5"/>
  <c r="G19" i="5"/>
  <c r="I19" i="5" s="1"/>
  <c r="K19" i="5" s="1"/>
  <c r="P19" i="5" s="1"/>
  <c r="G12" i="5"/>
  <c r="I12" i="5" s="1"/>
  <c r="G7" i="5"/>
  <c r="G6" i="5"/>
  <c r="G3" i="5"/>
  <c r="I3" i="5" s="1"/>
  <c r="H6" i="5"/>
  <c r="I6" i="5"/>
  <c r="N6" i="5" s="1"/>
  <c r="H7" i="5"/>
  <c r="M7" i="5" s="1"/>
  <c r="I7" i="5"/>
  <c r="N7" i="5" s="1"/>
  <c r="H8" i="5"/>
  <c r="M8" i="5" s="1"/>
  <c r="I8" i="5"/>
  <c r="N8" i="5" s="1"/>
  <c r="H9" i="5"/>
  <c r="M9" i="5" s="1"/>
  <c r="I9" i="5"/>
  <c r="K9" i="5" s="1"/>
  <c r="P9" i="5" s="1"/>
  <c r="I10" i="5"/>
  <c r="K10" i="5" s="1"/>
  <c r="P10" i="5" s="1"/>
  <c r="H11" i="5"/>
  <c r="J11" i="5" s="1"/>
  <c r="O11" i="5" s="1"/>
  <c r="H12" i="5"/>
  <c r="I14" i="5"/>
  <c r="N14" i="5" s="1"/>
  <c r="H15" i="5"/>
  <c r="M15" i="5" s="1"/>
  <c r="I15" i="5"/>
  <c r="K15" i="5" s="1"/>
  <c r="P15" i="5" s="1"/>
  <c r="H16" i="5"/>
  <c r="J16" i="5" s="1"/>
  <c r="O16" i="5" s="1"/>
  <c r="I16" i="5"/>
  <c r="N16" i="5" s="1"/>
  <c r="H17" i="5"/>
  <c r="M17" i="5" s="1"/>
  <c r="I17" i="5"/>
  <c r="N17" i="5" s="1"/>
  <c r="H18" i="5"/>
  <c r="J18" i="5" s="1"/>
  <c r="O18" i="5" s="1"/>
  <c r="I18" i="5"/>
  <c r="K18" i="5" s="1"/>
  <c r="P18" i="5" s="1"/>
  <c r="H19" i="5"/>
  <c r="H20" i="5"/>
  <c r="I20" i="5"/>
  <c r="N20" i="5" s="1"/>
  <c r="H22" i="5"/>
  <c r="M22" i="5" s="1"/>
  <c r="I22" i="5"/>
  <c r="K22" i="5" s="1"/>
  <c r="P22" i="5" s="1"/>
  <c r="H23" i="5"/>
  <c r="M23" i="5" s="1"/>
  <c r="H24" i="5"/>
  <c r="J24" i="5" s="1"/>
  <c r="O24" i="5" s="1"/>
  <c r="I24" i="5"/>
  <c r="K24" i="5" s="1"/>
  <c r="P24" i="5" s="1"/>
  <c r="H25" i="5"/>
  <c r="J25" i="5" s="1"/>
  <c r="O25" i="5" s="1"/>
  <c r="I25" i="5"/>
  <c r="H26" i="5"/>
  <c r="I26" i="5"/>
  <c r="H27" i="5"/>
  <c r="I27" i="5"/>
  <c r="N27" i="5" s="1"/>
  <c r="H28" i="5"/>
  <c r="M28" i="5" s="1"/>
  <c r="I28" i="5"/>
  <c r="N28" i="5" s="1"/>
  <c r="H3" i="5"/>
  <c r="J3" i="5" s="1"/>
  <c r="O3" i="5" s="1"/>
  <c r="C4" i="1" a="1"/>
  <c r="D4" i="1" a="1"/>
  <c r="C5" i="1" a="1"/>
  <c r="D5" i="1" a="1"/>
  <c r="C9" i="1" a="1"/>
  <c r="D9" i="1" a="1"/>
  <c r="F8" i="1" l="1"/>
  <c r="L8" i="1" s="1"/>
  <c r="E8" i="1"/>
  <c r="K8" i="1" s="1"/>
  <c r="D4" i="1"/>
  <c r="D5" i="1"/>
  <c r="C4" i="1"/>
  <c r="D9" i="1"/>
  <c r="C9" i="1"/>
  <c r="C5" i="1"/>
  <c r="O3" i="2"/>
  <c r="O2" i="2" s="1"/>
  <c r="H13" i="5"/>
  <c r="J13" i="5" s="1"/>
  <c r="O13" i="5" s="1"/>
  <c r="H5" i="5"/>
  <c r="M5" i="5" s="1"/>
  <c r="J12" i="5"/>
  <c r="O12" i="5" s="1"/>
  <c r="J19" i="5"/>
  <c r="O19" i="5" s="1"/>
  <c r="I4" i="5"/>
  <c r="N4" i="5" s="1"/>
  <c r="I21" i="5"/>
  <c r="K21" i="5" s="1"/>
  <c r="P21" i="5" s="1"/>
  <c r="K26" i="5"/>
  <c r="P26" i="5" s="1"/>
  <c r="K2" i="7"/>
  <c r="J4" i="8"/>
  <c r="O4" i="8" s="1"/>
  <c r="K3" i="5"/>
  <c r="P3" i="5" s="1"/>
  <c r="J26" i="5"/>
  <c r="O26" i="5" s="1"/>
  <c r="K12" i="5"/>
  <c r="P12" i="5" s="1"/>
  <c r="O3" i="10"/>
  <c r="M2" i="8"/>
  <c r="P2" i="8"/>
  <c r="N2" i="8"/>
  <c r="K2" i="8"/>
  <c r="O3" i="8"/>
  <c r="O2" i="8" s="1"/>
  <c r="J2" i="7"/>
  <c r="O3" i="7"/>
  <c r="O2" i="7" s="1"/>
  <c r="J6" i="5"/>
  <c r="O6" i="5" s="1"/>
  <c r="J20" i="5"/>
  <c r="O20" i="5" s="1"/>
  <c r="J27" i="5"/>
  <c r="O27" i="5" s="1"/>
  <c r="K25" i="5"/>
  <c r="P25" i="5" s="1"/>
  <c r="O3" i="6"/>
  <c r="O2" i="6" s="1"/>
  <c r="P3" i="6"/>
  <c r="P2" i="6" s="1"/>
  <c r="K2" i="6"/>
  <c r="P3" i="2"/>
  <c r="P2" i="2" s="1"/>
  <c r="K2" i="2"/>
  <c r="P3" i="3"/>
  <c r="P2" i="3" s="1"/>
  <c r="K2" i="3"/>
  <c r="K16" i="5"/>
  <c r="P16" i="5" s="1"/>
  <c r="J23" i="5"/>
  <c r="O23" i="5" s="1"/>
  <c r="J22" i="5"/>
  <c r="O22" i="5" s="1"/>
  <c r="J28" i="5"/>
  <c r="O28" i="5" s="1"/>
  <c r="M18" i="5"/>
  <c r="K20" i="5"/>
  <c r="P20" i="5" s="1"/>
  <c r="K7" i="5"/>
  <c r="P7" i="5" s="1"/>
  <c r="J7" i="5"/>
  <c r="O7" i="5" s="1"/>
  <c r="K17" i="5"/>
  <c r="P17" i="5" s="1"/>
  <c r="N19" i="5"/>
  <c r="N3" i="5"/>
  <c r="J17" i="5"/>
  <c r="O17" i="5" s="1"/>
  <c r="M16" i="5"/>
  <c r="N9" i="5"/>
  <c r="N18" i="5"/>
  <c r="J9" i="5"/>
  <c r="O9" i="5" s="1"/>
  <c r="M3" i="5"/>
  <c r="N24" i="5"/>
  <c r="M26" i="5"/>
  <c r="M24" i="5"/>
  <c r="M25" i="5"/>
  <c r="N23" i="5"/>
  <c r="N25" i="5"/>
  <c r="M12" i="5"/>
  <c r="J15" i="5"/>
  <c r="N22" i="5"/>
  <c r="M27" i="5"/>
  <c r="M11" i="5"/>
  <c r="K14" i="5"/>
  <c r="P14" i="5" s="1"/>
  <c r="J14" i="5"/>
  <c r="O14" i="5" s="1"/>
  <c r="N15" i="5"/>
  <c r="K28" i="5"/>
  <c r="P28" i="5" s="1"/>
  <c r="M21" i="5"/>
  <c r="N26" i="5"/>
  <c r="M19" i="5"/>
  <c r="N10" i="5"/>
  <c r="M10" i="5"/>
  <c r="M20" i="5"/>
  <c r="N11" i="5"/>
  <c r="N12" i="5"/>
  <c r="K27" i="5"/>
  <c r="P27" i="5" s="1"/>
  <c r="K13" i="5"/>
  <c r="P13" i="5" s="1"/>
  <c r="M6" i="5"/>
  <c r="K5" i="5"/>
  <c r="P5" i="5" s="1"/>
  <c r="K6" i="5"/>
  <c r="P6" i="5" s="1"/>
  <c r="M4" i="5"/>
  <c r="J8" i="5"/>
  <c r="O8" i="5" s="1"/>
  <c r="K8" i="5"/>
  <c r="P8" i="5" s="1"/>
  <c r="J5" i="5"/>
  <c r="O5" i="5" s="1"/>
  <c r="K4" i="5"/>
  <c r="P4" i="5" s="1"/>
  <c r="F9" i="1" l="1"/>
  <c r="L9" i="1" s="1"/>
  <c r="F5" i="1"/>
  <c r="L5" i="1" s="1"/>
  <c r="E5" i="1"/>
  <c r="K5" i="1" s="1"/>
  <c r="E9" i="1"/>
  <c r="K9" i="1" s="1"/>
  <c r="N21" i="5"/>
  <c r="I2" i="5"/>
  <c r="M13" i="5"/>
  <c r="H2" i="5"/>
  <c r="J2" i="8"/>
  <c r="N2" i="10"/>
  <c r="I2" i="10"/>
  <c r="H2" i="10"/>
  <c r="M2" i="10"/>
  <c r="J2" i="10"/>
  <c r="P2" i="10"/>
  <c r="O2" i="10"/>
  <c r="N2" i="5"/>
  <c r="M2" i="5"/>
  <c r="P2" i="5"/>
  <c r="K2" i="5"/>
  <c r="O15" i="5"/>
  <c r="O2" i="5" s="1"/>
  <c r="J2" i="5"/>
  <c r="C10" i="1" a="1"/>
  <c r="D7" i="1" a="1"/>
  <c r="D10" i="1" a="1"/>
  <c r="C7" i="1" a="1"/>
  <c r="C10" i="1" l="1"/>
  <c r="D10" i="1"/>
  <c r="C7" i="1"/>
  <c r="D7" i="1"/>
  <c r="K2" i="10"/>
  <c r="F7" i="1" l="1"/>
  <c r="L7" i="1" s="1"/>
  <c r="F10" i="1"/>
  <c r="L10" i="1" s="1"/>
  <c r="E7" i="1"/>
  <c r="K7" i="1" s="1"/>
  <c r="E10" i="1"/>
  <c r="K10" i="1" s="1"/>
  <c r="F6" i="1" l="1"/>
  <c r="L6" i="1" s="1"/>
  <c r="E6" i="1"/>
  <c r="K6" i="1" s="1"/>
  <c r="F4" i="1" l="1"/>
  <c r="E4" i="1"/>
  <c r="K4" i="1" l="1"/>
  <c r="E3" i="1" s="1"/>
  <c r="K3" i="1" s="1"/>
  <c r="E2" i="1" s="1"/>
  <c r="L4" i="1"/>
  <c r="F3" i="1" s="1"/>
  <c r="L3" i="1" s="1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<sst xmlns="http://schemas.openxmlformats.org/spreadsheetml/2006/main" count="229" uniqueCount="73">
  <si>
    <t>Schematic sheet</t>
  </si>
  <si>
    <t>Component</t>
  </si>
  <si>
    <t>Battery &amp; BMS</t>
  </si>
  <si>
    <t>Comparator</t>
  </si>
  <si>
    <t>Converter</t>
  </si>
  <si>
    <t>Average current [A]</t>
  </si>
  <si>
    <t>Peak current [A]</t>
  </si>
  <si>
    <t>Average current [mA]</t>
  </si>
  <si>
    <t>Peak current [mA]</t>
  </si>
  <si>
    <t>Peak power [W]</t>
  </si>
  <si>
    <t>Average power [W]</t>
  </si>
  <si>
    <t>Average power [mW]</t>
  </si>
  <si>
    <t>Peak power [mW]</t>
  </si>
  <si>
    <t>HV Converter</t>
  </si>
  <si>
    <t>Protection</t>
  </si>
  <si>
    <t>OVP amplifier</t>
  </si>
  <si>
    <t>OVP pullup</t>
  </si>
  <si>
    <t>Quantity</t>
  </si>
  <si>
    <t>Voltage [V]</t>
  </si>
  <si>
    <t>OVP reset</t>
  </si>
  <si>
    <t>OVP reference</t>
  </si>
  <si>
    <t>OVP output</t>
  </si>
  <si>
    <t>OVP comparator</t>
  </si>
  <si>
    <t>OCP comparator</t>
  </si>
  <si>
    <t>Average operating current [A]</t>
  </si>
  <si>
    <t>Peak operating current [A]</t>
  </si>
  <si>
    <t>OCP input reference</t>
  </si>
  <si>
    <t>OCP comparator output</t>
  </si>
  <si>
    <t>Total</t>
  </si>
  <si>
    <t>OCP timer reference</t>
  </si>
  <si>
    <t>OCP timer output</t>
  </si>
  <si>
    <t>Current Source</t>
  </si>
  <si>
    <t>Temperature sensor</t>
  </si>
  <si>
    <t>Output Terminal</t>
  </si>
  <si>
    <t>Reference</t>
  </si>
  <si>
    <t>HV detector output</t>
  </si>
  <si>
    <t>Measurement</t>
  </si>
  <si>
    <t>Instrumentation amplifier</t>
  </si>
  <si>
    <t>Operational amplifier</t>
  </si>
  <si>
    <t>INA feedback</t>
  </si>
  <si>
    <t>ADC</t>
  </si>
  <si>
    <t>Microcontroller (ADC)</t>
  </si>
  <si>
    <t>Microcontroller (DAC)</t>
  </si>
  <si>
    <r>
      <t>Resistance [</t>
    </r>
    <r>
      <rPr>
        <sz val="11"/>
        <color theme="1"/>
        <rFont val="Aptos Narrow"/>
        <family val="2"/>
      </rPr>
      <t>Ω</t>
    </r>
    <r>
      <rPr>
        <sz val="11"/>
        <color theme="1"/>
        <rFont val="Aptos Narrow"/>
        <family val="2"/>
        <scheme val="minor"/>
      </rPr>
      <t>]</t>
    </r>
  </si>
  <si>
    <t>Supply</t>
  </si>
  <si>
    <t>+15V</t>
  </si>
  <si>
    <t>+3V3</t>
  </si>
  <si>
    <t>+5V</t>
  </si>
  <si>
    <t>+3V3_A</t>
  </si>
  <si>
    <t>Type</t>
  </si>
  <si>
    <t>Source</t>
  </si>
  <si>
    <t>Regulator</t>
  </si>
  <si>
    <t>Input voltage [V]</t>
  </si>
  <si>
    <t>VCC</t>
  </si>
  <si>
    <t>Converter efficiency</t>
  </si>
  <si>
    <t>Peak input current [A]</t>
  </si>
  <si>
    <t>Average input current [A]</t>
  </si>
  <si>
    <t>Average load [A]</t>
  </si>
  <si>
    <t>Peak load [A]</t>
  </si>
  <si>
    <t>+3V3_UI</t>
  </si>
  <si>
    <t>VLED</t>
  </si>
  <si>
    <t>UI - LED</t>
  </si>
  <si>
    <t>LED driver</t>
  </si>
  <si>
    <t>LEDs</t>
  </si>
  <si>
    <t>Backlight</t>
  </si>
  <si>
    <t>UI - Display</t>
  </si>
  <si>
    <t>Direct</t>
  </si>
  <si>
    <t>Bat</t>
  </si>
  <si>
    <t>Backlight driver</t>
  </si>
  <si>
    <t>+3V3_STBY</t>
  </si>
  <si>
    <t>RTC</t>
  </si>
  <si>
    <t>Microcontroller</t>
  </si>
  <si>
    <t>VBAT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</si>
</sst>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F9173-5FA8-4830-AC5D-AF05A8C70F17}">
  <dimension ref="A1:L11"/>
  <sheetViews>
    <sheetView tabSelected="1" workbookViewId="0">
      <selection activeCell="A12" sqref="A12"/>
    </sheetView>
  </sheetViews>
  <sheetFormatPr baseColWidth="10" defaultRowHeight="15" x14ac:dyDescent="0.25"/>
  <cols>
    <col min="5" max="5" width="17.42578125" bestFit="1" customWidth="1"/>
    <col min="6" max="6" width="14.7109375" bestFit="1" customWidth="1"/>
  </cols>
  <sheetData>
    <row r="1" spans="1:12" x14ac:dyDescent="0.25">
      <c r="A1" t="s">
        <v>44</v>
      </c>
      <c r="B1" t="s">
        <v>18</v>
      </c>
      <c r="C1" t="s">
        <v>57</v>
      </c>
      <c r="D1" t="s">
        <v>58</v>
      </c>
      <c r="E1" t="s">
        <v>5</v>
      </c>
      <c r="F1" t="s">
        <v>6</v>
      </c>
      <c r="G1" t="s">
        <v>49</v>
      </c>
      <c r="H1" t="s">
        <v>50</v>
      </c>
      <c r="I1" t="s">
        <v>52</v>
      </c>
      <c r="J1" t="s">
        <v>54</v>
      </c>
      <c r="K1" t="s">
        <v>56</v>
      </c>
      <c r="L1" t="s">
        <v>55</v>
      </c>
    </row>
    <row r="2" spans="1:12" x14ac:dyDescent="0.25">
      <c r="A2" t="s">
        <v>72</v>
      </c>
      <c r="B2">
        <v>8</v>
      </c>
      <c r="E2">
        <f ca="1">C2+SUMIF($H$2:$H$10,$A2,K$2:K$10)</f>
        <v>0.13733467685417247</v>
      </c>
      <c r="F2">
        <f ca="1">D2+SUMIF($H$2:$H$10,$A2,L$2:L$10)</f>
        <v>0.13733445974890932</v>
      </c>
      <c r="G2" t="s">
        <v>66</v>
      </c>
      <c r="H2" t="s">
        <v>67</v>
      </c>
    </row>
    <row r="3" spans="1:12" x14ac:dyDescent="0.25">
      <c r="A3" t="s">
        <v>53</v>
      </c>
      <c r="B3">
        <f>B2</f>
        <v>8</v>
      </c>
      <c r="C3" cm="1">
        <f t="array" aca="1" ref="C3" ca="1">INDIRECT("'" &amp; $A3 &amp; "'!$H$2")</f>
        <v>0</v>
      </c>
      <c r="D3" cm="1">
        <f t="array" aca="1" ref="D3" ca="1">INDIRECT("'" &amp; $A3 &amp; "'!$I$2")</f>
        <v>0</v>
      </c>
      <c r="E3">
        <f t="shared" ref="E3:E10" ca="1" si="0">C3+SUMIF($H$2:$H$10,$A3,K$2:K$10)</f>
        <v>0.13733467685417247</v>
      </c>
      <c r="F3">
        <f t="shared" ref="F3:F10" ca="1" si="1">D3+SUMIF($H$2:$H$10,$A3,L$2:L$10)</f>
        <v>0.13733445974890932</v>
      </c>
      <c r="G3" t="s">
        <v>66</v>
      </c>
      <c r="H3" t="s">
        <v>72</v>
      </c>
      <c r="I3">
        <f>SUMIF($A$2:$A$10,H3,$B$2:$B$10)</f>
        <v>8</v>
      </c>
      <c r="K3">
        <f ca="1">IF($G3="Converter",$B3*E3/$I3/$J3,IF($G3="Regulator",E3,IF($G3="Direct",IF($B3=$I3,E3,"Type Direct unavailable due to voltage difference"),"Unrecognized Type")))</f>
        <v>0.13733467685417247</v>
      </c>
      <c r="L3">
        <f ca="1">IF($G3="Converter",$B3*F3/$I3/$J3,IF($G3="Regulator",F3,IF($G3="Direct",IF($B3=$I3,F3,"Type Direct unavailable due to voltage difference"),"Unrecognized Type")))</f>
        <v>0.13733445974890932</v>
      </c>
    </row>
    <row r="4" spans="1:12" x14ac:dyDescent="0.25">
      <c r="A4" s="7" t="s">
        <v>45</v>
      </c>
      <c r="B4">
        <v>15</v>
      </c>
      <c r="C4" cm="1">
        <f t="array" aca="1" ref="C4" ca="1">INDIRECT("'" &amp; $A4 &amp; "'!$H$2")</f>
        <v>0</v>
      </c>
      <c r="D4" cm="1">
        <f t="array" aca="1" ref="D4" ca="1">INDIRECT("'" &amp; $A4 &amp; "'!$I$2")</f>
        <v>0</v>
      </c>
      <c r="E4">
        <f t="shared" ca="1" si="0"/>
        <v>6.5920644890002794E-2</v>
      </c>
      <c r="F4">
        <f t="shared" ca="1" si="1"/>
        <v>6.5920540679476475E-2</v>
      </c>
      <c r="G4" t="s">
        <v>4</v>
      </c>
      <c r="H4" t="s">
        <v>53</v>
      </c>
      <c r="I4">
        <f t="shared" ref="I4:I10" si="2">SUMIF($A$2:$A$10,H4,$B$2:$B$10)</f>
        <v>8</v>
      </c>
      <c r="J4">
        <v>0.9</v>
      </c>
      <c r="K4">
        <f t="shared" ref="K4:K10" ca="1" si="3">IF($G4="Converter",$B4*E4/$I4/$J4,IF($G4="Regulator",E4,IF($G4="Direct",IF($B4=$I4,E4,"Type Direct unavailable due to voltage difference"),"Unrecognized Type")))</f>
        <v>0.13733467685417247</v>
      </c>
      <c r="L4">
        <f t="shared" ref="L4:L10" ca="1" si="4">IF($G4="Converter",$B4*F4/$I4/$J4,IF($G4="Regulator",F4,IF($G4="Direct",IF($B4=$I4,F4,"Type Direct unavailable due to voltage difference"),"Unrecognized Type")))</f>
        <v>0.13733445974890932</v>
      </c>
    </row>
    <row r="5" spans="1:12" x14ac:dyDescent="0.25">
      <c r="A5" s="7" t="s">
        <v>46</v>
      </c>
      <c r="B5">
        <v>3.3</v>
      </c>
      <c r="C5" cm="1">
        <f t="array" aca="1" ref="C5" ca="1">INDIRECT("'" &amp; $A5 &amp; "'!$H$2")</f>
        <v>0</v>
      </c>
      <c r="D5" cm="1">
        <f t="array" aca="1" ref="D5" ca="1">INDIRECT("'" &amp; $A5 &amp; "'!$I$2")</f>
        <v>0</v>
      </c>
      <c r="E5">
        <f t="shared" ca="1" si="0"/>
        <v>0</v>
      </c>
      <c r="F5">
        <f t="shared" ca="1" si="1"/>
        <v>0</v>
      </c>
      <c r="G5" t="s">
        <v>4</v>
      </c>
      <c r="H5" s="7" t="s">
        <v>45</v>
      </c>
      <c r="I5">
        <f t="shared" si="2"/>
        <v>15</v>
      </c>
      <c r="J5">
        <v>0.9</v>
      </c>
      <c r="K5">
        <f t="shared" ca="1" si="3"/>
        <v>0</v>
      </c>
      <c r="L5">
        <f t="shared" ca="1" si="4"/>
        <v>0</v>
      </c>
    </row>
    <row r="6" spans="1:12" x14ac:dyDescent="0.25">
      <c r="A6" s="7" t="s">
        <v>47</v>
      </c>
      <c r="B6">
        <v>5</v>
      </c>
      <c r="C6" cm="1">
        <f t="array" aca="1" ref="C6" ca="1">INDIRECT("'" &amp; $A6 &amp; "'!$H$2")</f>
        <v>0</v>
      </c>
      <c r="D6" cm="1">
        <f t="array" aca="1" ref="D6" ca="1">INDIRECT("'" &amp; $A6 &amp; "'!$I$2")</f>
        <v>0</v>
      </c>
      <c r="E6">
        <f t="shared" ca="1" si="0"/>
        <v>1.7521428571428573E-2</v>
      </c>
      <c r="F6">
        <f t="shared" ca="1" si="1"/>
        <v>1.7521428571428573E-2</v>
      </c>
      <c r="G6" t="s">
        <v>4</v>
      </c>
      <c r="H6" s="7" t="s">
        <v>45</v>
      </c>
      <c r="I6">
        <f t="shared" si="2"/>
        <v>15</v>
      </c>
      <c r="J6">
        <v>0.9</v>
      </c>
      <c r="K6">
        <f t="shared" ca="1" si="3"/>
        <v>6.4894179894179902E-3</v>
      </c>
      <c r="L6">
        <f t="shared" ca="1" si="4"/>
        <v>6.4894179894179902E-3</v>
      </c>
    </row>
    <row r="7" spans="1:12" x14ac:dyDescent="0.25">
      <c r="A7" s="7" t="s">
        <v>48</v>
      </c>
      <c r="B7">
        <v>3.3</v>
      </c>
      <c r="C7" cm="1">
        <f t="array" aca="1" ref="C7" ca="1">INDIRECT("'" &amp; $A7 &amp; "'!$H$2")</f>
        <v>1.7521428571428573E-2</v>
      </c>
      <c r="D7" cm="1">
        <f t="array" aca="1" ref="D7" ca="1">INDIRECT("'" &amp; $A7 &amp; "'!$I$2")</f>
        <v>1.7521428571428573E-2</v>
      </c>
      <c r="E7">
        <f t="shared" ca="1" si="0"/>
        <v>1.7521428571428573E-2</v>
      </c>
      <c r="F7">
        <f t="shared" ca="1" si="1"/>
        <v>1.7521428571428573E-2</v>
      </c>
      <c r="G7" t="s">
        <v>51</v>
      </c>
      <c r="H7" s="7" t="s">
        <v>47</v>
      </c>
      <c r="I7">
        <f t="shared" si="2"/>
        <v>5</v>
      </c>
      <c r="K7">
        <f t="shared" ca="1" si="3"/>
        <v>1.7521428571428573E-2</v>
      </c>
      <c r="L7">
        <f t="shared" ca="1" si="4"/>
        <v>1.7521428571428573E-2</v>
      </c>
    </row>
    <row r="8" spans="1:12" x14ac:dyDescent="0.25">
      <c r="A8" s="7" t="s">
        <v>59</v>
      </c>
      <c r="B8">
        <v>3.3</v>
      </c>
      <c r="C8" cm="1">
        <f t="array" aca="1" ref="C8" ca="1">INDIRECT("'" &amp; $A8 &amp; "'!$H$2")</f>
        <v>0</v>
      </c>
      <c r="D8" cm="1">
        <f t="array" aca="1" ref="D8" ca="1">INDIRECT("'" &amp; $A8 &amp; "'!$I$2")</f>
        <v>0</v>
      </c>
      <c r="E8">
        <f t="shared" ca="1" si="0"/>
        <v>0</v>
      </c>
      <c r="F8">
        <f t="shared" ca="1" si="1"/>
        <v>0</v>
      </c>
      <c r="G8" t="s">
        <v>4</v>
      </c>
      <c r="H8" s="7" t="s">
        <v>45</v>
      </c>
      <c r="I8">
        <f t="shared" si="2"/>
        <v>15</v>
      </c>
      <c r="J8">
        <v>0.9</v>
      </c>
      <c r="K8">
        <f t="shared" ca="1" si="3"/>
        <v>0</v>
      </c>
      <c r="L8">
        <f t="shared" ca="1" si="4"/>
        <v>0</v>
      </c>
    </row>
    <row r="9" spans="1:12" x14ac:dyDescent="0.25">
      <c r="A9" t="s">
        <v>60</v>
      </c>
      <c r="B9">
        <v>4</v>
      </c>
      <c r="C9" cm="1">
        <f t="array" aca="1" ref="C9" ca="1">INDIRECT("'" &amp; $A9 &amp; "'!$H$2")</f>
        <v>0.20058000000000001</v>
      </c>
      <c r="D9" cm="1">
        <f t="array" aca="1" ref="D9" ca="1">INDIRECT("'" &amp; $A9 &amp; "'!$I$2")</f>
        <v>0.20058000000000001</v>
      </c>
      <c r="E9">
        <f t="shared" ca="1" si="0"/>
        <v>0.20058000000000001</v>
      </c>
      <c r="F9">
        <f t="shared" ca="1" si="1"/>
        <v>0.20058000000000001</v>
      </c>
      <c r="G9" t="s">
        <v>4</v>
      </c>
      <c r="H9" s="7" t="s">
        <v>45</v>
      </c>
      <c r="I9">
        <f t="shared" si="2"/>
        <v>15</v>
      </c>
      <c r="J9">
        <v>0.9</v>
      </c>
      <c r="K9">
        <f t="shared" ca="1" si="3"/>
        <v>5.9431111111111108E-2</v>
      </c>
      <c r="L9">
        <f t="shared" ca="1" si="4"/>
        <v>5.9431111111111108E-2</v>
      </c>
    </row>
    <row r="10" spans="1:12" x14ac:dyDescent="0.25">
      <c r="A10" s="7" t="s">
        <v>69</v>
      </c>
      <c r="B10">
        <v>3.3</v>
      </c>
      <c r="C10" cm="1">
        <f t="array" aca="1" ref="C10" ca="1">INDIRECT("'" &amp; $A10 &amp; "'!$H$2")</f>
        <v>9.9999999999999995E-7</v>
      </c>
      <c r="D10" cm="1">
        <f t="array" aca="1" ref="D10" ca="1">INDIRECT("'" &amp; $A10 &amp; "'!$I$2")</f>
        <v>9.9999999999999995E-8</v>
      </c>
      <c r="E10">
        <f t="shared" ca="1" si="0"/>
        <v>9.9999999999999995E-7</v>
      </c>
      <c r="F10">
        <f t="shared" ca="1" si="1"/>
        <v>9.9999999999999995E-8</v>
      </c>
      <c r="G10" t="s">
        <v>4</v>
      </c>
      <c r="H10" s="7" t="s">
        <v>45</v>
      </c>
      <c r="I10">
        <f t="shared" si="2"/>
        <v>15</v>
      </c>
      <c r="J10">
        <v>1.9</v>
      </c>
      <c r="K10">
        <f t="shared" ca="1" si="3"/>
        <v>1.1578947368421052E-7</v>
      </c>
      <c r="L10">
        <f t="shared" ca="1" si="4"/>
        <v>1.1578947368421052E-8</v>
      </c>
    </row>
    <row r="11" spans="1:12" x14ac:dyDescent="0.25">
      <c r="A11" s="7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3C56F-8137-4593-8A34-F26B39E5F535}">
  <dimension ref="A1:P3"/>
  <sheetViews>
    <sheetView workbookViewId="0">
      <selection activeCell="D2" sqref="D2"/>
    </sheetView>
  </sheetViews>
  <sheetFormatPr baseColWidth="10" defaultRowHeight="15" x14ac:dyDescent="0.25"/>
  <cols>
    <col min="1" max="1" width="15.7109375" customWidth="1"/>
    <col min="2" max="2" width="25.7109375" customWidth="1"/>
    <col min="3" max="3" width="8.42578125" bestFit="1" customWidth="1"/>
    <col min="4" max="4" width="10.28515625" bestFit="1" customWidth="1"/>
    <col min="5" max="5" width="13.5703125" bestFit="1" customWidth="1"/>
    <col min="6" max="6" width="26.5703125" bestFit="1" customWidth="1"/>
    <col min="7" max="7" width="23.85546875" bestFit="1" customWidth="1"/>
    <col min="8" max="8" width="17.42578125" bestFit="1" customWidth="1"/>
    <col min="9" max="9" width="14.7109375" bestFit="1" customWidth="1"/>
    <col min="10" max="10" width="17.140625" bestFit="1" customWidth="1"/>
    <col min="11" max="11" width="14.42578125" bestFit="1" customWidth="1"/>
    <col min="12" max="12" width="2.85546875" customWidth="1"/>
    <col min="13" max="13" width="19.140625" bestFit="1" customWidth="1"/>
    <col min="14" max="14" width="16.5703125" bestFit="1" customWidth="1"/>
    <col min="15" max="15" width="18.85546875" bestFit="1" customWidth="1"/>
    <col min="16" max="16" width="16.28515625" bestFit="1" customWidth="1"/>
  </cols>
  <sheetData>
    <row r="1" spans="1:16" x14ac:dyDescent="0.25">
      <c r="A1" s="1" t="s">
        <v>0</v>
      </c>
      <c r="B1" s="1" t="s">
        <v>1</v>
      </c>
      <c r="C1" s="1" t="s">
        <v>17</v>
      </c>
      <c r="D1" s="1" t="s">
        <v>18</v>
      </c>
      <c r="E1" s="1" t="s">
        <v>43</v>
      </c>
      <c r="F1" s="1" t="s">
        <v>24</v>
      </c>
      <c r="G1" s="1" t="s">
        <v>25</v>
      </c>
      <c r="H1" s="1" t="s">
        <v>5</v>
      </c>
      <c r="I1" s="1" t="s">
        <v>6</v>
      </c>
      <c r="J1" s="1" t="s">
        <v>10</v>
      </c>
      <c r="K1" s="1" t="s">
        <v>9</v>
      </c>
      <c r="M1" s="1" t="s">
        <v>7</v>
      </c>
      <c r="N1" s="1" t="s">
        <v>8</v>
      </c>
      <c r="O1" s="1" t="s">
        <v>11</v>
      </c>
      <c r="P1" s="1" t="s">
        <v>12</v>
      </c>
    </row>
    <row r="2" spans="1:16" x14ac:dyDescent="0.25">
      <c r="A2" s="1" t="s">
        <v>28</v>
      </c>
      <c r="B2" s="1"/>
      <c r="C2" s="1"/>
      <c r="D2" s="4">
        <f>'Power consumption Overview'!B2</f>
        <v>8</v>
      </c>
      <c r="E2" s="1"/>
      <c r="F2" s="1"/>
      <c r="G2" s="1"/>
      <c r="H2" s="4">
        <f>SUM(H3:H1048576)</f>
        <v>0</v>
      </c>
      <c r="I2" s="4">
        <f t="shared" ref="I2:P2" si="0">SUM(I3:I1048576)</f>
        <v>0</v>
      </c>
      <c r="J2" s="4">
        <f t="shared" si="0"/>
        <v>0</v>
      </c>
      <c r="K2" s="4">
        <f t="shared" si="0"/>
        <v>0</v>
      </c>
      <c r="M2" s="4">
        <f t="shared" si="0"/>
        <v>0</v>
      </c>
      <c r="N2" s="4">
        <f t="shared" si="0"/>
        <v>0</v>
      </c>
      <c r="O2" s="4">
        <f t="shared" si="0"/>
        <v>0</v>
      </c>
      <c r="P2" s="4">
        <f t="shared" si="0"/>
        <v>0</v>
      </c>
    </row>
    <row r="3" spans="1:16" x14ac:dyDescent="0.25">
      <c r="A3" s="1"/>
      <c r="B3" s="1"/>
      <c r="C3" s="1">
        <v>1</v>
      </c>
      <c r="D3" s="4">
        <f>D$2</f>
        <v>8</v>
      </c>
      <c r="E3" s="1"/>
      <c r="F3" s="1"/>
      <c r="G3" s="1"/>
      <c r="H3" s="4">
        <f>IF(ISBLANK($E3),F3*$C3,$D3/$E3*$C3+F3*$C3)</f>
        <v>0</v>
      </c>
      <c r="I3" s="4">
        <f>IF(ISBLANK($E3),G3*$C3,$D3/$E3*$C3+G3*$C3)</f>
        <v>0</v>
      </c>
      <c r="J3" s="4">
        <f>$D3*H3</f>
        <v>0</v>
      </c>
      <c r="K3" s="4">
        <f>$D3*I3</f>
        <v>0</v>
      </c>
      <c r="M3" s="4">
        <f>H3*1000</f>
        <v>0</v>
      </c>
      <c r="N3" s="4">
        <f t="shared" ref="N3:P3" si="1">I3*1000</f>
        <v>0</v>
      </c>
      <c r="O3" s="4">
        <f t="shared" si="1"/>
        <v>0</v>
      </c>
      <c r="P3" s="4">
        <f t="shared" si="1"/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0C80E-088E-4F7F-BE66-115272723F8E}">
  <dimension ref="A1:P3"/>
  <sheetViews>
    <sheetView workbookViewId="0">
      <selection activeCell="C13" sqref="C13"/>
    </sheetView>
  </sheetViews>
  <sheetFormatPr baseColWidth="10" defaultRowHeight="15" x14ac:dyDescent="0.25"/>
  <cols>
    <col min="1" max="1" width="15.7109375" customWidth="1"/>
    <col min="2" max="2" width="25.7109375" customWidth="1"/>
    <col min="3" max="3" width="8.42578125" bestFit="1" customWidth="1"/>
    <col min="4" max="4" width="10.28515625" bestFit="1" customWidth="1"/>
    <col min="5" max="5" width="13.5703125" bestFit="1" customWidth="1"/>
    <col min="6" max="6" width="26.5703125" bestFit="1" customWidth="1"/>
    <col min="7" max="7" width="23.85546875" bestFit="1" customWidth="1"/>
    <col min="8" max="8" width="17.42578125" bestFit="1" customWidth="1"/>
    <col min="9" max="9" width="14.7109375" bestFit="1" customWidth="1"/>
    <col min="10" max="10" width="17.140625" bestFit="1" customWidth="1"/>
    <col min="11" max="11" width="14.42578125" bestFit="1" customWidth="1"/>
    <col min="12" max="12" width="2.85546875" customWidth="1"/>
    <col min="13" max="13" width="19.140625" bestFit="1" customWidth="1"/>
    <col min="14" max="14" width="16.5703125" bestFit="1" customWidth="1"/>
    <col min="15" max="15" width="18.85546875" bestFit="1" customWidth="1"/>
    <col min="16" max="16" width="16.28515625" bestFit="1" customWidth="1"/>
  </cols>
  <sheetData>
    <row r="1" spans="1:16" x14ac:dyDescent="0.25">
      <c r="A1" s="1" t="s">
        <v>0</v>
      </c>
      <c r="B1" s="1" t="s">
        <v>1</v>
      </c>
      <c r="C1" s="1" t="s">
        <v>17</v>
      </c>
      <c r="D1" s="1" t="s">
        <v>18</v>
      </c>
      <c r="E1" s="1" t="s">
        <v>43</v>
      </c>
      <c r="F1" s="1" t="s">
        <v>24</v>
      </c>
      <c r="G1" s="1" t="s">
        <v>25</v>
      </c>
      <c r="H1" s="1" t="s">
        <v>5</v>
      </c>
      <c r="I1" s="1" t="s">
        <v>6</v>
      </c>
      <c r="J1" s="1" t="s">
        <v>10</v>
      </c>
      <c r="K1" s="1" t="s">
        <v>9</v>
      </c>
      <c r="M1" s="1" t="s">
        <v>7</v>
      </c>
      <c r="N1" s="1" t="s">
        <v>8</v>
      </c>
      <c r="O1" s="1" t="s">
        <v>11</v>
      </c>
      <c r="P1" s="1" t="s">
        <v>12</v>
      </c>
    </row>
    <row r="2" spans="1:16" x14ac:dyDescent="0.25">
      <c r="A2" s="1" t="s">
        <v>28</v>
      </c>
      <c r="B2" s="1"/>
      <c r="C2" s="1"/>
      <c r="D2" s="4">
        <f>'Power consumption Overview'!B4</f>
        <v>15</v>
      </c>
      <c r="E2" s="1"/>
      <c r="F2" s="1"/>
      <c r="G2" s="1"/>
      <c r="H2" s="4">
        <f>SUM(H3:H1048576)</f>
        <v>0</v>
      </c>
      <c r="I2" s="4">
        <f t="shared" ref="I2:P2" si="0">SUM(I3:I1048576)</f>
        <v>0</v>
      </c>
      <c r="J2" s="4">
        <f t="shared" si="0"/>
        <v>0</v>
      </c>
      <c r="K2" s="4">
        <f t="shared" si="0"/>
        <v>0</v>
      </c>
      <c r="M2" s="4">
        <f t="shared" si="0"/>
        <v>0</v>
      </c>
      <c r="N2" s="4">
        <f t="shared" si="0"/>
        <v>0</v>
      </c>
      <c r="O2" s="4">
        <f t="shared" si="0"/>
        <v>0</v>
      </c>
      <c r="P2" s="4">
        <f t="shared" si="0"/>
        <v>0</v>
      </c>
    </row>
    <row r="3" spans="1:16" x14ac:dyDescent="0.25">
      <c r="A3" s="1"/>
      <c r="B3" s="1"/>
      <c r="C3" s="1">
        <v>1</v>
      </c>
      <c r="D3" s="4">
        <f>D$2</f>
        <v>15</v>
      </c>
      <c r="E3" s="1"/>
      <c r="F3" s="1"/>
      <c r="G3" s="1"/>
      <c r="H3" s="4">
        <f>IF(ISBLANK($E3),F3*$C3,$D3/$E3*$C3+F3*$C3)</f>
        <v>0</v>
      </c>
      <c r="I3" s="4">
        <f>IF(ISBLANK($E3),G3*$C3,$D3/$E3*$C3+G3*$C3)</f>
        <v>0</v>
      </c>
      <c r="J3" s="4">
        <f>$D3*H3</f>
        <v>0</v>
      </c>
      <c r="K3" s="4">
        <f>$D3*I3</f>
        <v>0</v>
      </c>
      <c r="M3" s="4">
        <f>H3*1000</f>
        <v>0</v>
      </c>
      <c r="N3" s="4">
        <f t="shared" ref="N3:P3" si="1">I3*1000</f>
        <v>0</v>
      </c>
      <c r="O3" s="4">
        <f t="shared" si="1"/>
        <v>0</v>
      </c>
      <c r="P3" s="4">
        <f t="shared" si="1"/>
        <v>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3270B-7CDD-4ABD-880F-4142D9E543E8}">
  <dimension ref="A1:P3"/>
  <sheetViews>
    <sheetView workbookViewId="0">
      <selection activeCell="D2" sqref="D2"/>
    </sheetView>
  </sheetViews>
  <sheetFormatPr baseColWidth="10" defaultRowHeight="15" x14ac:dyDescent="0.25"/>
  <cols>
    <col min="1" max="1" width="15.7109375" customWidth="1"/>
    <col min="2" max="2" width="25.7109375" customWidth="1"/>
    <col min="3" max="3" width="8.42578125" bestFit="1" customWidth="1"/>
    <col min="4" max="4" width="10.28515625" bestFit="1" customWidth="1"/>
    <col min="5" max="5" width="13.5703125" bestFit="1" customWidth="1"/>
    <col min="6" max="6" width="26.5703125" bestFit="1" customWidth="1"/>
    <col min="7" max="7" width="23.85546875" bestFit="1" customWidth="1"/>
    <col min="8" max="8" width="17.42578125" bestFit="1" customWidth="1"/>
    <col min="9" max="9" width="14.7109375" bestFit="1" customWidth="1"/>
    <col min="10" max="10" width="17.140625" bestFit="1" customWidth="1"/>
    <col min="11" max="11" width="14.42578125" bestFit="1" customWidth="1"/>
    <col min="12" max="12" width="2.85546875" customWidth="1"/>
    <col min="13" max="13" width="19.140625" bestFit="1" customWidth="1"/>
    <col min="14" max="14" width="16.5703125" bestFit="1" customWidth="1"/>
    <col min="15" max="15" width="18.85546875" bestFit="1" customWidth="1"/>
    <col min="16" max="16" width="16.28515625" bestFit="1" customWidth="1"/>
  </cols>
  <sheetData>
    <row r="1" spans="1:16" x14ac:dyDescent="0.25">
      <c r="A1" s="1" t="s">
        <v>0</v>
      </c>
      <c r="B1" s="1" t="s">
        <v>1</v>
      </c>
      <c r="C1" s="1" t="s">
        <v>17</v>
      </c>
      <c r="D1" s="1" t="s">
        <v>18</v>
      </c>
      <c r="E1" s="1" t="s">
        <v>43</v>
      </c>
      <c r="F1" s="1" t="s">
        <v>24</v>
      </c>
      <c r="G1" s="1" t="s">
        <v>25</v>
      </c>
      <c r="H1" s="1" t="s">
        <v>5</v>
      </c>
      <c r="I1" s="1" t="s">
        <v>6</v>
      </c>
      <c r="J1" s="1" t="s">
        <v>10</v>
      </c>
      <c r="K1" s="1" t="s">
        <v>9</v>
      </c>
      <c r="M1" s="1" t="s">
        <v>7</v>
      </c>
      <c r="N1" s="1" t="s">
        <v>8</v>
      </c>
      <c r="O1" s="1" t="s">
        <v>11</v>
      </c>
      <c r="P1" s="1" t="s">
        <v>12</v>
      </c>
    </row>
    <row r="2" spans="1:16" x14ac:dyDescent="0.25">
      <c r="A2" s="1" t="s">
        <v>28</v>
      </c>
      <c r="B2" s="1"/>
      <c r="C2" s="1"/>
      <c r="D2" s="4">
        <f>'Power consumption Overview'!B5</f>
        <v>3.3</v>
      </c>
      <c r="E2" s="1"/>
      <c r="F2" s="1"/>
      <c r="G2" s="1"/>
      <c r="H2" s="4">
        <f>SUM(H3:H1048576)</f>
        <v>0</v>
      </c>
      <c r="I2" s="4">
        <f t="shared" ref="I2:P2" si="0">SUM(I3:I1048576)</f>
        <v>0</v>
      </c>
      <c r="J2" s="4">
        <f t="shared" si="0"/>
        <v>0</v>
      </c>
      <c r="K2" s="4">
        <f t="shared" si="0"/>
        <v>0</v>
      </c>
      <c r="M2" s="4">
        <f t="shared" si="0"/>
        <v>0</v>
      </c>
      <c r="N2" s="4">
        <f t="shared" si="0"/>
        <v>0</v>
      </c>
      <c r="O2" s="4">
        <f t="shared" si="0"/>
        <v>0</v>
      </c>
      <c r="P2" s="4">
        <f t="shared" si="0"/>
        <v>0</v>
      </c>
    </row>
    <row r="3" spans="1:16" x14ac:dyDescent="0.25">
      <c r="A3" s="1"/>
      <c r="B3" s="1"/>
      <c r="C3" s="1">
        <v>1</v>
      </c>
      <c r="D3" s="4">
        <f>D$2</f>
        <v>3.3</v>
      </c>
      <c r="E3" s="1"/>
      <c r="F3" s="1"/>
      <c r="G3" s="1"/>
      <c r="H3" s="4">
        <f>IF(ISBLANK($E3),F3*$C3,$D3/$E3*$C3+F3*$C3)</f>
        <v>0</v>
      </c>
      <c r="I3" s="4">
        <f>IF(ISBLANK($E3),G3*$C3,$D3/$E3*$C3+G3*$C3)</f>
        <v>0</v>
      </c>
      <c r="J3" s="4">
        <f>$D3*H3</f>
        <v>0</v>
      </c>
      <c r="K3" s="4">
        <f>$D3*I3</f>
        <v>0</v>
      </c>
      <c r="M3" s="4">
        <f>H3*1000</f>
        <v>0</v>
      </c>
      <c r="N3" s="4">
        <f t="shared" ref="N3:P3" si="1">I3*1000</f>
        <v>0</v>
      </c>
      <c r="O3" s="4">
        <f t="shared" si="1"/>
        <v>0</v>
      </c>
      <c r="P3" s="4">
        <f t="shared" si="1"/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7C32-ECCB-4277-B9C6-1A193976D2D9}">
  <dimension ref="A1:P3"/>
  <sheetViews>
    <sheetView workbookViewId="0">
      <selection activeCell="D3" sqref="D3"/>
    </sheetView>
  </sheetViews>
  <sheetFormatPr baseColWidth="10" defaultRowHeight="15" x14ac:dyDescent="0.25"/>
  <cols>
    <col min="1" max="1" width="15.7109375" customWidth="1"/>
    <col min="2" max="2" width="25.7109375" customWidth="1"/>
    <col min="3" max="3" width="8.42578125" bestFit="1" customWidth="1"/>
    <col min="4" max="4" width="10.28515625" bestFit="1" customWidth="1"/>
    <col min="5" max="5" width="13.5703125" bestFit="1" customWidth="1"/>
    <col min="6" max="6" width="26.5703125" bestFit="1" customWidth="1"/>
    <col min="7" max="7" width="23.85546875" bestFit="1" customWidth="1"/>
    <col min="8" max="8" width="17.42578125" bestFit="1" customWidth="1"/>
    <col min="9" max="9" width="14.7109375" bestFit="1" customWidth="1"/>
    <col min="10" max="10" width="17.140625" bestFit="1" customWidth="1"/>
    <col min="11" max="11" width="14.42578125" bestFit="1" customWidth="1"/>
    <col min="12" max="12" width="2.85546875" customWidth="1"/>
    <col min="13" max="13" width="19.140625" bestFit="1" customWidth="1"/>
    <col min="14" max="14" width="16.5703125" bestFit="1" customWidth="1"/>
    <col min="15" max="15" width="18.85546875" bestFit="1" customWidth="1"/>
    <col min="16" max="16" width="16.28515625" bestFit="1" customWidth="1"/>
  </cols>
  <sheetData>
    <row r="1" spans="1:16" x14ac:dyDescent="0.25">
      <c r="A1" s="1" t="s">
        <v>0</v>
      </c>
      <c r="B1" s="1" t="s">
        <v>1</v>
      </c>
      <c r="C1" s="1" t="s">
        <v>17</v>
      </c>
      <c r="D1" s="1" t="s">
        <v>18</v>
      </c>
      <c r="E1" s="1" t="s">
        <v>43</v>
      </c>
      <c r="F1" s="1" t="s">
        <v>24</v>
      </c>
      <c r="G1" s="1" t="s">
        <v>25</v>
      </c>
      <c r="H1" s="1" t="s">
        <v>5</v>
      </c>
      <c r="I1" s="1" t="s">
        <v>6</v>
      </c>
      <c r="J1" s="1" t="s">
        <v>10</v>
      </c>
      <c r="K1" s="1" t="s">
        <v>9</v>
      </c>
      <c r="M1" s="1" t="s">
        <v>7</v>
      </c>
      <c r="N1" s="1" t="s">
        <v>8</v>
      </c>
      <c r="O1" s="1" t="s">
        <v>11</v>
      </c>
      <c r="P1" s="1" t="s">
        <v>12</v>
      </c>
    </row>
    <row r="2" spans="1:16" x14ac:dyDescent="0.25">
      <c r="A2" s="1" t="s">
        <v>28</v>
      </c>
      <c r="B2" s="1"/>
      <c r="C2" s="1"/>
      <c r="D2" s="4">
        <f>'Power consumption Overview'!B6</f>
        <v>5</v>
      </c>
      <c r="E2" s="1"/>
      <c r="F2" s="1"/>
      <c r="G2" s="1"/>
      <c r="H2" s="4">
        <f>SUM(H3:H1048576)</f>
        <v>0</v>
      </c>
      <c r="I2" s="4">
        <f t="shared" ref="I2:P2" si="0">SUM(I3:I1048576)</f>
        <v>0</v>
      </c>
      <c r="J2" s="4">
        <f t="shared" si="0"/>
        <v>0</v>
      </c>
      <c r="K2" s="4">
        <f t="shared" si="0"/>
        <v>0</v>
      </c>
      <c r="M2" s="4">
        <f t="shared" si="0"/>
        <v>0</v>
      </c>
      <c r="N2" s="4">
        <f t="shared" si="0"/>
        <v>0</v>
      </c>
      <c r="O2" s="4">
        <f t="shared" si="0"/>
        <v>0</v>
      </c>
      <c r="P2" s="4">
        <f t="shared" si="0"/>
        <v>0</v>
      </c>
    </row>
    <row r="3" spans="1:16" x14ac:dyDescent="0.25">
      <c r="A3" s="1"/>
      <c r="B3" s="1"/>
      <c r="C3" s="1">
        <v>1</v>
      </c>
      <c r="D3" s="4">
        <f>D$2</f>
        <v>5</v>
      </c>
      <c r="E3" s="1"/>
      <c r="F3" s="1"/>
      <c r="G3" s="1"/>
      <c r="H3" s="4">
        <f>IF(ISBLANK($E3),F3*$C3,$D3/$E3*$C3+F3*$C3)</f>
        <v>0</v>
      </c>
      <c r="I3" s="4">
        <f>IF(ISBLANK($E3),G3*$C3,$D3/$E3*$C3+G3*$C3)</f>
        <v>0</v>
      </c>
      <c r="J3" s="4">
        <f>$D3*H3</f>
        <v>0</v>
      </c>
      <c r="K3" s="4">
        <f>$D3*I3</f>
        <v>0</v>
      </c>
      <c r="M3" s="4">
        <f>H3*1000</f>
        <v>0</v>
      </c>
      <c r="N3" s="4">
        <f t="shared" ref="N3:P3" si="1">I3*1000</f>
        <v>0</v>
      </c>
      <c r="O3" s="4">
        <f t="shared" si="1"/>
        <v>0</v>
      </c>
      <c r="P3" s="4">
        <f t="shared" si="1"/>
        <v>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3B86D-8602-4F51-AFED-4C13B00E0A29}">
  <dimension ref="A1:P28"/>
  <sheetViews>
    <sheetView workbookViewId="0">
      <selection activeCell="A29" sqref="A29"/>
    </sheetView>
  </sheetViews>
  <sheetFormatPr baseColWidth="10" defaultRowHeight="15" x14ac:dyDescent="0.25"/>
  <cols>
    <col min="1" max="1" width="15.7109375" customWidth="1"/>
    <col min="2" max="2" width="25.7109375" customWidth="1"/>
    <col min="3" max="3" width="8.42578125" bestFit="1" customWidth="1"/>
    <col min="4" max="4" width="10.28515625" bestFit="1" customWidth="1"/>
    <col min="5" max="5" width="13.5703125" bestFit="1" customWidth="1"/>
    <col min="6" max="6" width="26.5703125" bestFit="1" customWidth="1"/>
    <col min="7" max="7" width="23.85546875" bestFit="1" customWidth="1"/>
    <col min="8" max="8" width="17.42578125" bestFit="1" customWidth="1"/>
    <col min="9" max="9" width="14.7109375" bestFit="1" customWidth="1"/>
    <col min="10" max="10" width="17.140625" bestFit="1" customWidth="1"/>
    <col min="11" max="11" width="14.42578125" bestFit="1" customWidth="1"/>
    <col min="12" max="12" width="2.85546875" customWidth="1"/>
    <col min="13" max="13" width="19.140625" bestFit="1" customWidth="1"/>
    <col min="14" max="14" width="16.5703125" bestFit="1" customWidth="1"/>
    <col min="15" max="15" width="18.85546875" bestFit="1" customWidth="1"/>
    <col min="16" max="16" width="16.28515625" bestFit="1" customWidth="1"/>
  </cols>
  <sheetData>
    <row r="1" spans="1:16" x14ac:dyDescent="0.25">
      <c r="A1" s="1" t="s">
        <v>0</v>
      </c>
      <c r="B1" s="1" t="s">
        <v>1</v>
      </c>
      <c r="C1" s="1" t="s">
        <v>17</v>
      </c>
      <c r="D1" s="1" t="s">
        <v>18</v>
      </c>
      <c r="E1" s="1" t="s">
        <v>43</v>
      </c>
      <c r="F1" s="1" t="s">
        <v>24</v>
      </c>
      <c r="G1" s="1" t="s">
        <v>25</v>
      </c>
      <c r="H1" s="1" t="s">
        <v>5</v>
      </c>
      <c r="I1" s="1" t="s">
        <v>6</v>
      </c>
      <c r="J1" s="2" t="s">
        <v>10</v>
      </c>
      <c r="K1" s="1" t="s">
        <v>9</v>
      </c>
      <c r="M1" s="1" t="s">
        <v>7</v>
      </c>
      <c r="N1" s="3" t="s">
        <v>8</v>
      </c>
      <c r="O1" s="1" t="s">
        <v>11</v>
      </c>
      <c r="P1" s="1" t="s">
        <v>12</v>
      </c>
    </row>
    <row r="2" spans="1:16" x14ac:dyDescent="0.25">
      <c r="A2" s="1" t="s">
        <v>28</v>
      </c>
      <c r="B2" s="1"/>
      <c r="C2" s="1"/>
      <c r="D2" s="4">
        <f>'Power consumption Overview'!B7</f>
        <v>3.3</v>
      </c>
      <c r="E2" s="1"/>
      <c r="F2" s="1"/>
      <c r="G2" s="1"/>
      <c r="H2" s="4">
        <f>SUM(H3:H1048576)</f>
        <v>1.7521428571428573E-2</v>
      </c>
      <c r="I2" s="4">
        <f t="shared" ref="I2:P2" si="0">SUM(I3:I1048576)</f>
        <v>1.7521428571428573E-2</v>
      </c>
      <c r="J2" s="5">
        <f t="shared" si="0"/>
        <v>5.7820714285714281E-2</v>
      </c>
      <c r="K2" s="4">
        <f t="shared" si="0"/>
        <v>5.7820714285714281E-2</v>
      </c>
      <c r="M2" s="4">
        <f t="shared" si="0"/>
        <v>17.521428571428572</v>
      </c>
      <c r="N2" s="6">
        <f t="shared" si="0"/>
        <v>17.521428571428572</v>
      </c>
      <c r="O2" s="4">
        <f t="shared" si="0"/>
        <v>57.820714285714274</v>
      </c>
      <c r="P2" s="4">
        <f t="shared" si="0"/>
        <v>57.820714285714274</v>
      </c>
    </row>
    <row r="3" spans="1:16" x14ac:dyDescent="0.25">
      <c r="A3" s="1" t="s">
        <v>2</v>
      </c>
      <c r="B3" s="1" t="s">
        <v>38</v>
      </c>
      <c r="C3" s="1">
        <v>1</v>
      </c>
      <c r="D3" s="4">
        <f>D$2</f>
        <v>3.3</v>
      </c>
      <c r="E3" s="1"/>
      <c r="F3" s="1">
        <v>2.5000000000000001E-4</v>
      </c>
      <c r="G3" s="1">
        <f>F3</f>
        <v>2.5000000000000001E-4</v>
      </c>
      <c r="H3" s="4">
        <f>IF(ISBLANK($E3),F3*$C3,$D3/$E3*$C3+F3*$C3)</f>
        <v>2.5000000000000001E-4</v>
      </c>
      <c r="I3" s="4">
        <f>IF(ISBLANK($E3),G3*$C3,$D3/$E3*$C3+G3*$C3)</f>
        <v>2.5000000000000001E-4</v>
      </c>
      <c r="J3" s="5">
        <f>$D3*H3</f>
        <v>8.25E-4</v>
      </c>
      <c r="K3" s="4">
        <f>$D3*I3</f>
        <v>8.25E-4</v>
      </c>
      <c r="M3" s="4">
        <f>H3*1000</f>
        <v>0.25</v>
      </c>
      <c r="N3" s="6">
        <f t="shared" ref="N3:P3" si="1">I3*1000</f>
        <v>0.25</v>
      </c>
      <c r="O3" s="4">
        <f t="shared" si="1"/>
        <v>0.82499999999999996</v>
      </c>
      <c r="P3" s="4">
        <f t="shared" si="1"/>
        <v>0.82499999999999996</v>
      </c>
    </row>
    <row r="4" spans="1:16" x14ac:dyDescent="0.25">
      <c r="A4" s="1" t="s">
        <v>4</v>
      </c>
      <c r="B4" s="1" t="s">
        <v>32</v>
      </c>
      <c r="C4" s="1">
        <v>3</v>
      </c>
      <c r="D4" s="4">
        <f t="shared" ref="D4:D28" si="2">D$2</f>
        <v>3.3</v>
      </c>
      <c r="E4" s="1">
        <v>10000</v>
      </c>
      <c r="F4" s="1"/>
      <c r="G4" s="1"/>
      <c r="H4" s="4">
        <f t="shared" ref="H4:H28" si="3">IF(ISBLANK($E4),F4*$C4,$D4/$E4*$C4+F4*$C4)</f>
        <v>9.8999999999999999E-4</v>
      </c>
      <c r="I4" s="4">
        <f t="shared" ref="I4:I28" si="4">IF(ISBLANK($E4),G4*$C4,$D4/$E4*$C4+G4*$C4)</f>
        <v>9.8999999999999999E-4</v>
      </c>
      <c r="J4" s="5">
        <f t="shared" ref="J4:J28" si="5">$D4*H4</f>
        <v>3.2669999999999999E-3</v>
      </c>
      <c r="K4" s="4">
        <f t="shared" ref="K4:K28" si="6">$D4*I4</f>
        <v>3.2669999999999999E-3</v>
      </c>
      <c r="M4" s="4">
        <f t="shared" ref="M4:M28" si="7">H4*1000</f>
        <v>0.99</v>
      </c>
      <c r="N4" s="6">
        <f t="shared" ref="N4:N28" si="8">I4*1000</f>
        <v>0.99</v>
      </c>
      <c r="O4" s="4">
        <f t="shared" ref="O4:O28" si="9">J4*1000</f>
        <v>3.2669999999999999</v>
      </c>
      <c r="P4" s="4">
        <f t="shared" ref="P4:P28" si="10">K4*1000</f>
        <v>3.2669999999999999</v>
      </c>
    </row>
    <row r="5" spans="1:16" x14ac:dyDescent="0.25">
      <c r="A5" s="1" t="s">
        <v>13</v>
      </c>
      <c r="B5" s="1" t="s">
        <v>32</v>
      </c>
      <c r="C5" s="1">
        <v>0</v>
      </c>
      <c r="D5" s="4">
        <f t="shared" si="2"/>
        <v>3.3</v>
      </c>
      <c r="E5" s="1">
        <v>10000</v>
      </c>
      <c r="F5" s="1"/>
      <c r="G5" s="1"/>
      <c r="H5" s="4">
        <f t="shared" si="3"/>
        <v>0</v>
      </c>
      <c r="I5" s="4">
        <f t="shared" si="4"/>
        <v>0</v>
      </c>
      <c r="J5" s="5">
        <f t="shared" si="5"/>
        <v>0</v>
      </c>
      <c r="K5" s="4">
        <f t="shared" si="6"/>
        <v>0</v>
      </c>
      <c r="M5" s="4">
        <f t="shared" si="7"/>
        <v>0</v>
      </c>
      <c r="N5" s="6">
        <f t="shared" si="8"/>
        <v>0</v>
      </c>
      <c r="O5" s="4">
        <f t="shared" si="9"/>
        <v>0</v>
      </c>
      <c r="P5" s="4">
        <f t="shared" si="10"/>
        <v>0</v>
      </c>
    </row>
    <row r="6" spans="1:16" x14ac:dyDescent="0.25">
      <c r="A6" s="1" t="s">
        <v>14</v>
      </c>
      <c r="B6" s="1" t="s">
        <v>15</v>
      </c>
      <c r="C6" s="1">
        <v>1</v>
      </c>
      <c r="D6" s="4">
        <f t="shared" si="2"/>
        <v>3.3</v>
      </c>
      <c r="E6" s="1"/>
      <c r="F6" s="1">
        <v>2.5000000000000001E-4</v>
      </c>
      <c r="G6" s="1">
        <f>F6</f>
        <v>2.5000000000000001E-4</v>
      </c>
      <c r="H6" s="4">
        <f t="shared" si="3"/>
        <v>2.5000000000000001E-4</v>
      </c>
      <c r="I6" s="4">
        <f t="shared" si="4"/>
        <v>2.5000000000000001E-4</v>
      </c>
      <c r="J6" s="5">
        <f t="shared" si="5"/>
        <v>8.25E-4</v>
      </c>
      <c r="K6" s="4">
        <f t="shared" si="6"/>
        <v>8.25E-4</v>
      </c>
      <c r="M6" s="4">
        <f t="shared" si="7"/>
        <v>0.25</v>
      </c>
      <c r="N6" s="6">
        <f t="shared" si="8"/>
        <v>0.25</v>
      </c>
      <c r="O6" s="4">
        <f t="shared" si="9"/>
        <v>0.82499999999999996</v>
      </c>
      <c r="P6" s="4">
        <f t="shared" si="10"/>
        <v>0.82499999999999996</v>
      </c>
    </row>
    <row r="7" spans="1:16" x14ac:dyDescent="0.25">
      <c r="A7" s="1" t="s">
        <v>14</v>
      </c>
      <c r="B7" s="1" t="s">
        <v>22</v>
      </c>
      <c r="C7" s="1">
        <v>1</v>
      </c>
      <c r="D7" s="4">
        <f t="shared" si="2"/>
        <v>3.3</v>
      </c>
      <c r="E7" s="1"/>
      <c r="F7" s="1">
        <v>1E-4</v>
      </c>
      <c r="G7" s="1">
        <f>F7</f>
        <v>1E-4</v>
      </c>
      <c r="H7" s="4">
        <f t="shared" si="3"/>
        <v>1E-4</v>
      </c>
      <c r="I7" s="4">
        <f t="shared" si="4"/>
        <v>1E-4</v>
      </c>
      <c r="J7" s="5">
        <f t="shared" si="5"/>
        <v>3.3E-4</v>
      </c>
      <c r="K7" s="4">
        <f t="shared" si="6"/>
        <v>3.3E-4</v>
      </c>
      <c r="M7" s="4">
        <f t="shared" ref="M7" si="11">H7*1000</f>
        <v>0.1</v>
      </c>
      <c r="N7" s="6">
        <f t="shared" ref="N7" si="12">I7*1000</f>
        <v>0.1</v>
      </c>
      <c r="O7" s="4">
        <f t="shared" ref="O7" si="13">J7*1000</f>
        <v>0.33</v>
      </c>
      <c r="P7" s="4">
        <f t="shared" ref="P7" si="14">K7*1000</f>
        <v>0.33</v>
      </c>
    </row>
    <row r="8" spans="1:16" x14ac:dyDescent="0.25">
      <c r="A8" s="1" t="s">
        <v>14</v>
      </c>
      <c r="B8" s="1" t="s">
        <v>16</v>
      </c>
      <c r="C8" s="1">
        <v>1</v>
      </c>
      <c r="D8" s="4">
        <f t="shared" si="2"/>
        <v>3.3</v>
      </c>
      <c r="E8" s="1">
        <v>200000</v>
      </c>
      <c r="F8" s="1"/>
      <c r="G8" s="1"/>
      <c r="H8" s="4">
        <f t="shared" si="3"/>
        <v>1.6499999999999998E-5</v>
      </c>
      <c r="I8" s="4">
        <f t="shared" si="4"/>
        <v>1.6499999999999998E-5</v>
      </c>
      <c r="J8" s="5">
        <f t="shared" si="5"/>
        <v>5.4449999999999989E-5</v>
      </c>
      <c r="K8" s="4">
        <f t="shared" si="6"/>
        <v>5.4449999999999989E-5</v>
      </c>
      <c r="M8" s="4">
        <f t="shared" si="7"/>
        <v>1.6499999999999997E-2</v>
      </c>
      <c r="N8" s="6">
        <f t="shared" si="8"/>
        <v>1.6499999999999997E-2</v>
      </c>
      <c r="O8" s="4">
        <f t="shared" si="9"/>
        <v>5.4449999999999991E-2</v>
      </c>
      <c r="P8" s="4">
        <f t="shared" si="10"/>
        <v>5.4449999999999991E-2</v>
      </c>
    </row>
    <row r="9" spans="1:16" x14ac:dyDescent="0.25">
      <c r="A9" s="1" t="s">
        <v>14</v>
      </c>
      <c r="B9" s="1" t="s">
        <v>19</v>
      </c>
      <c r="C9" s="1">
        <v>1</v>
      </c>
      <c r="D9" s="4">
        <f t="shared" si="2"/>
        <v>3.3</v>
      </c>
      <c r="E9" s="1">
        <v>10000</v>
      </c>
      <c r="F9" s="1"/>
      <c r="G9" s="1"/>
      <c r="H9" s="4">
        <f t="shared" si="3"/>
        <v>3.3E-4</v>
      </c>
      <c r="I9" s="4">
        <f t="shared" si="4"/>
        <v>3.3E-4</v>
      </c>
      <c r="J9" s="5">
        <f t="shared" si="5"/>
        <v>1.0889999999999999E-3</v>
      </c>
      <c r="K9" s="4">
        <f t="shared" si="6"/>
        <v>1.0889999999999999E-3</v>
      </c>
      <c r="M9" s="4">
        <f t="shared" si="7"/>
        <v>0.33</v>
      </c>
      <c r="N9" s="6">
        <f t="shared" si="8"/>
        <v>0.33</v>
      </c>
      <c r="O9" s="4">
        <f t="shared" si="9"/>
        <v>1.089</v>
      </c>
      <c r="P9" s="4">
        <f t="shared" si="10"/>
        <v>1.089</v>
      </c>
    </row>
    <row r="10" spans="1:16" x14ac:dyDescent="0.25">
      <c r="A10" s="1" t="s">
        <v>14</v>
      </c>
      <c r="B10" s="1" t="s">
        <v>20</v>
      </c>
      <c r="C10" s="1">
        <v>1</v>
      </c>
      <c r="D10" s="4">
        <f t="shared" si="2"/>
        <v>3.3</v>
      </c>
      <c r="E10" s="1">
        <v>16800</v>
      </c>
      <c r="F10" s="1"/>
      <c r="G10" s="1"/>
      <c r="H10" s="4">
        <f t="shared" si="3"/>
        <v>1.9642857142857141E-4</v>
      </c>
      <c r="I10" s="4">
        <f t="shared" si="4"/>
        <v>1.9642857142857141E-4</v>
      </c>
      <c r="J10" s="5">
        <f t="shared" si="5"/>
        <v>6.482142857142856E-4</v>
      </c>
      <c r="K10" s="4">
        <f t="shared" si="6"/>
        <v>6.482142857142856E-4</v>
      </c>
      <c r="M10" s="4">
        <f t="shared" si="7"/>
        <v>0.1964285714285714</v>
      </c>
      <c r="N10" s="6">
        <f t="shared" si="8"/>
        <v>0.1964285714285714</v>
      </c>
      <c r="O10" s="4">
        <f t="shared" si="9"/>
        <v>0.64821428571428563</v>
      </c>
      <c r="P10" s="4">
        <f t="shared" si="10"/>
        <v>0.64821428571428563</v>
      </c>
    </row>
    <row r="11" spans="1:16" x14ac:dyDescent="0.25">
      <c r="A11" s="1" t="s">
        <v>14</v>
      </c>
      <c r="B11" s="1" t="s">
        <v>21</v>
      </c>
      <c r="C11" s="1">
        <v>1</v>
      </c>
      <c r="D11" s="4">
        <f t="shared" si="2"/>
        <v>3.3</v>
      </c>
      <c r="E11" s="1">
        <v>10000</v>
      </c>
      <c r="F11" s="1"/>
      <c r="G11" s="1"/>
      <c r="H11" s="4">
        <f t="shared" si="3"/>
        <v>3.3E-4</v>
      </c>
      <c r="I11" s="4">
        <f t="shared" si="4"/>
        <v>3.3E-4</v>
      </c>
      <c r="J11" s="5">
        <f t="shared" si="5"/>
        <v>1.0889999999999999E-3</v>
      </c>
      <c r="K11" s="4">
        <f t="shared" si="6"/>
        <v>1.0889999999999999E-3</v>
      </c>
      <c r="M11" s="4">
        <f t="shared" si="7"/>
        <v>0.33</v>
      </c>
      <c r="N11" s="6">
        <f t="shared" si="8"/>
        <v>0.33</v>
      </c>
      <c r="O11" s="4">
        <f t="shared" si="9"/>
        <v>1.089</v>
      </c>
      <c r="P11" s="4">
        <f t="shared" si="10"/>
        <v>1.089</v>
      </c>
    </row>
    <row r="12" spans="1:16" x14ac:dyDescent="0.25">
      <c r="A12" s="1" t="s">
        <v>14</v>
      </c>
      <c r="B12" s="1" t="s">
        <v>23</v>
      </c>
      <c r="C12" s="1">
        <v>2</v>
      </c>
      <c r="D12" s="4">
        <f t="shared" si="2"/>
        <v>3.3</v>
      </c>
      <c r="E12" s="1"/>
      <c r="F12" s="1">
        <v>1E-4</v>
      </c>
      <c r="G12" s="1">
        <f>F12</f>
        <v>1E-4</v>
      </c>
      <c r="H12" s="4">
        <f t="shared" si="3"/>
        <v>2.0000000000000001E-4</v>
      </c>
      <c r="I12" s="4">
        <f t="shared" si="4"/>
        <v>2.0000000000000001E-4</v>
      </c>
      <c r="J12" s="5">
        <f t="shared" si="5"/>
        <v>6.6E-4</v>
      </c>
      <c r="K12" s="4">
        <f t="shared" si="6"/>
        <v>6.6E-4</v>
      </c>
      <c r="M12" s="4">
        <f t="shared" si="7"/>
        <v>0.2</v>
      </c>
      <c r="N12" s="6">
        <f t="shared" si="8"/>
        <v>0.2</v>
      </c>
      <c r="O12" s="4">
        <f t="shared" si="9"/>
        <v>0.66</v>
      </c>
      <c r="P12" s="4">
        <f t="shared" si="10"/>
        <v>0.66</v>
      </c>
    </row>
    <row r="13" spans="1:16" x14ac:dyDescent="0.25">
      <c r="A13" s="1" t="s">
        <v>14</v>
      </c>
      <c r="B13" s="1" t="s">
        <v>26</v>
      </c>
      <c r="C13" s="1">
        <v>1</v>
      </c>
      <c r="D13" s="4">
        <f t="shared" si="2"/>
        <v>3.3</v>
      </c>
      <c r="E13" s="1">
        <v>200000</v>
      </c>
      <c r="F13" s="1"/>
      <c r="G13" s="1"/>
      <c r="H13" s="4">
        <f t="shared" si="3"/>
        <v>1.6499999999999998E-5</v>
      </c>
      <c r="I13" s="4">
        <f t="shared" si="4"/>
        <v>1.6499999999999998E-5</v>
      </c>
      <c r="J13" s="5">
        <f t="shared" si="5"/>
        <v>5.4449999999999989E-5</v>
      </c>
      <c r="K13" s="4">
        <f t="shared" si="6"/>
        <v>5.4449999999999989E-5</v>
      </c>
      <c r="M13" s="4">
        <f t="shared" si="7"/>
        <v>1.6499999999999997E-2</v>
      </c>
      <c r="N13" s="6">
        <f t="shared" si="8"/>
        <v>1.6499999999999997E-2</v>
      </c>
      <c r="O13" s="4">
        <f t="shared" si="9"/>
        <v>5.4449999999999991E-2</v>
      </c>
      <c r="P13" s="4">
        <f t="shared" si="10"/>
        <v>5.4449999999999991E-2</v>
      </c>
    </row>
    <row r="14" spans="1:16" x14ac:dyDescent="0.25">
      <c r="A14" s="1" t="s">
        <v>14</v>
      </c>
      <c r="B14" s="1" t="s">
        <v>27</v>
      </c>
      <c r="C14" s="1">
        <v>1</v>
      </c>
      <c r="D14" s="4">
        <f t="shared" si="2"/>
        <v>3.3</v>
      </c>
      <c r="E14" s="1">
        <v>10000</v>
      </c>
      <c r="F14" s="1"/>
      <c r="G14" s="1"/>
      <c r="H14" s="4">
        <f t="shared" si="3"/>
        <v>3.3E-4</v>
      </c>
      <c r="I14" s="4">
        <f t="shared" si="4"/>
        <v>3.3E-4</v>
      </c>
      <c r="J14" s="5">
        <f t="shared" si="5"/>
        <v>1.0889999999999999E-3</v>
      </c>
      <c r="K14" s="4">
        <f t="shared" si="6"/>
        <v>1.0889999999999999E-3</v>
      </c>
      <c r="M14" s="4">
        <f t="shared" si="7"/>
        <v>0.33</v>
      </c>
      <c r="N14" s="6">
        <f t="shared" si="8"/>
        <v>0.33</v>
      </c>
      <c r="O14" s="4">
        <f t="shared" si="9"/>
        <v>1.089</v>
      </c>
      <c r="P14" s="4">
        <f t="shared" si="10"/>
        <v>1.089</v>
      </c>
    </row>
    <row r="15" spans="1:16" x14ac:dyDescent="0.25">
      <c r="A15" s="1" t="s">
        <v>14</v>
      </c>
      <c r="B15" s="1" t="s">
        <v>29</v>
      </c>
      <c r="C15" s="1">
        <v>1</v>
      </c>
      <c r="D15" s="4">
        <f t="shared" si="2"/>
        <v>3.3</v>
      </c>
      <c r="E15" s="1">
        <v>200000</v>
      </c>
      <c r="F15" s="1"/>
      <c r="G15" s="1"/>
      <c r="H15" s="4">
        <f t="shared" si="3"/>
        <v>1.6499999999999998E-5</v>
      </c>
      <c r="I15" s="4">
        <f t="shared" si="4"/>
        <v>1.6499999999999998E-5</v>
      </c>
      <c r="J15" s="5">
        <f t="shared" si="5"/>
        <v>5.4449999999999989E-5</v>
      </c>
      <c r="K15" s="4">
        <f t="shared" si="6"/>
        <v>5.4449999999999989E-5</v>
      </c>
      <c r="M15" s="4">
        <f t="shared" si="7"/>
        <v>1.6499999999999997E-2</v>
      </c>
      <c r="N15" s="6">
        <f t="shared" si="8"/>
        <v>1.6499999999999997E-2</v>
      </c>
      <c r="O15" s="4">
        <f t="shared" si="9"/>
        <v>5.4449999999999991E-2</v>
      </c>
      <c r="P15" s="4">
        <f t="shared" si="10"/>
        <v>5.4449999999999991E-2</v>
      </c>
    </row>
    <row r="16" spans="1:16" x14ac:dyDescent="0.25">
      <c r="A16" s="1" t="s">
        <v>14</v>
      </c>
      <c r="B16" s="1" t="s">
        <v>30</v>
      </c>
      <c r="C16" s="1">
        <v>1</v>
      </c>
      <c r="D16" s="4">
        <f t="shared" si="2"/>
        <v>3.3</v>
      </c>
      <c r="E16" s="1">
        <v>10000</v>
      </c>
      <c r="F16" s="1"/>
      <c r="G16" s="1"/>
      <c r="H16" s="4">
        <f t="shared" si="3"/>
        <v>3.3E-4</v>
      </c>
      <c r="I16" s="4">
        <f t="shared" si="4"/>
        <v>3.3E-4</v>
      </c>
      <c r="J16" s="5">
        <f t="shared" si="5"/>
        <v>1.0889999999999999E-3</v>
      </c>
      <c r="K16" s="4">
        <f t="shared" si="6"/>
        <v>1.0889999999999999E-3</v>
      </c>
      <c r="M16" s="4">
        <f t="shared" si="7"/>
        <v>0.33</v>
      </c>
      <c r="N16" s="6">
        <f t="shared" si="8"/>
        <v>0.33</v>
      </c>
      <c r="O16" s="4">
        <f t="shared" si="9"/>
        <v>1.089</v>
      </c>
      <c r="P16" s="4">
        <f t="shared" si="10"/>
        <v>1.089</v>
      </c>
    </row>
    <row r="17" spans="1:16" x14ac:dyDescent="0.25">
      <c r="A17" s="1" t="s">
        <v>31</v>
      </c>
      <c r="B17" s="1" t="s">
        <v>32</v>
      </c>
      <c r="C17" s="1">
        <v>1</v>
      </c>
      <c r="D17" s="4">
        <f t="shared" si="2"/>
        <v>3.3</v>
      </c>
      <c r="E17" s="1">
        <v>10000</v>
      </c>
      <c r="F17" s="1"/>
      <c r="G17" s="1"/>
      <c r="H17" s="4">
        <f t="shared" si="3"/>
        <v>3.3E-4</v>
      </c>
      <c r="I17" s="4">
        <f t="shared" si="4"/>
        <v>3.3E-4</v>
      </c>
      <c r="J17" s="5">
        <f t="shared" si="5"/>
        <v>1.0889999999999999E-3</v>
      </c>
      <c r="K17" s="4">
        <f t="shared" si="6"/>
        <v>1.0889999999999999E-3</v>
      </c>
      <c r="M17" s="4">
        <f t="shared" si="7"/>
        <v>0.33</v>
      </c>
      <c r="N17" s="6">
        <f t="shared" si="8"/>
        <v>0.33</v>
      </c>
      <c r="O17" s="4">
        <f t="shared" si="9"/>
        <v>1.089</v>
      </c>
      <c r="P17" s="4">
        <f t="shared" si="10"/>
        <v>1.089</v>
      </c>
    </row>
    <row r="18" spans="1:16" x14ac:dyDescent="0.25">
      <c r="A18" s="1" t="s">
        <v>33</v>
      </c>
      <c r="B18" s="1" t="s">
        <v>34</v>
      </c>
      <c r="C18" s="1">
        <v>1</v>
      </c>
      <c r="D18" s="4">
        <f t="shared" si="2"/>
        <v>3.3</v>
      </c>
      <c r="E18" s="1">
        <v>200000</v>
      </c>
      <c r="F18" s="1"/>
      <c r="G18" s="1"/>
      <c r="H18" s="4">
        <f t="shared" si="3"/>
        <v>1.6499999999999998E-5</v>
      </c>
      <c r="I18" s="4">
        <f t="shared" si="4"/>
        <v>1.6499999999999998E-5</v>
      </c>
      <c r="J18" s="5">
        <f t="shared" si="5"/>
        <v>5.4449999999999989E-5</v>
      </c>
      <c r="K18" s="4">
        <f t="shared" si="6"/>
        <v>5.4449999999999989E-5</v>
      </c>
      <c r="M18" s="4">
        <f t="shared" si="7"/>
        <v>1.6499999999999997E-2</v>
      </c>
      <c r="N18" s="6">
        <f t="shared" si="8"/>
        <v>1.6499999999999997E-2</v>
      </c>
      <c r="O18" s="4">
        <f t="shared" si="9"/>
        <v>5.4449999999999991E-2</v>
      </c>
      <c r="P18" s="4">
        <f t="shared" si="10"/>
        <v>5.4449999999999991E-2</v>
      </c>
    </row>
    <row r="19" spans="1:16" x14ac:dyDescent="0.25">
      <c r="A19" s="1" t="s">
        <v>33</v>
      </c>
      <c r="B19" s="1" t="s">
        <v>3</v>
      </c>
      <c r="C19" s="1">
        <v>1</v>
      </c>
      <c r="D19" s="4">
        <f t="shared" si="2"/>
        <v>3.3</v>
      </c>
      <c r="E19" s="1"/>
      <c r="F19" s="1">
        <v>1E-4</v>
      </c>
      <c r="G19" s="1">
        <f>F19</f>
        <v>1E-4</v>
      </c>
      <c r="H19" s="4">
        <f t="shared" si="3"/>
        <v>1E-4</v>
      </c>
      <c r="I19" s="4">
        <f t="shared" si="4"/>
        <v>1E-4</v>
      </c>
      <c r="J19" s="5">
        <f t="shared" si="5"/>
        <v>3.3E-4</v>
      </c>
      <c r="K19" s="4">
        <f t="shared" si="6"/>
        <v>3.3E-4</v>
      </c>
      <c r="M19" s="4">
        <f t="shared" si="7"/>
        <v>0.1</v>
      </c>
      <c r="N19" s="6">
        <f t="shared" si="8"/>
        <v>0.1</v>
      </c>
      <c r="O19" s="4">
        <f t="shared" si="9"/>
        <v>0.33</v>
      </c>
      <c r="P19" s="4">
        <f t="shared" si="10"/>
        <v>0.33</v>
      </c>
    </row>
    <row r="20" spans="1:16" x14ac:dyDescent="0.25">
      <c r="A20" s="1" t="s">
        <v>33</v>
      </c>
      <c r="B20" s="1" t="s">
        <v>38</v>
      </c>
      <c r="C20" s="1">
        <v>1</v>
      </c>
      <c r="D20" s="4">
        <f t="shared" si="2"/>
        <v>3.3</v>
      </c>
      <c r="E20" s="1"/>
      <c r="F20" s="1">
        <v>2.5000000000000001E-4</v>
      </c>
      <c r="G20" s="1">
        <f>F20</f>
        <v>2.5000000000000001E-4</v>
      </c>
      <c r="H20" s="4">
        <f t="shared" si="3"/>
        <v>2.5000000000000001E-4</v>
      </c>
      <c r="I20" s="4">
        <f t="shared" si="4"/>
        <v>2.5000000000000001E-4</v>
      </c>
      <c r="J20" s="5">
        <f t="shared" si="5"/>
        <v>8.25E-4</v>
      </c>
      <c r="K20" s="4">
        <f t="shared" si="6"/>
        <v>8.25E-4</v>
      </c>
      <c r="M20" s="4">
        <f t="shared" si="7"/>
        <v>0.25</v>
      </c>
      <c r="N20" s="6">
        <f t="shared" si="8"/>
        <v>0.25</v>
      </c>
      <c r="O20" s="4">
        <f t="shared" si="9"/>
        <v>0.82499999999999996</v>
      </c>
      <c r="P20" s="4">
        <f t="shared" si="10"/>
        <v>0.82499999999999996</v>
      </c>
    </row>
    <row r="21" spans="1:16" x14ac:dyDescent="0.25">
      <c r="A21" s="1" t="s">
        <v>33</v>
      </c>
      <c r="B21" s="1" t="s">
        <v>35</v>
      </c>
      <c r="C21" s="1">
        <v>1</v>
      </c>
      <c r="D21" s="4">
        <f t="shared" si="2"/>
        <v>3.3</v>
      </c>
      <c r="E21" s="1">
        <v>10000</v>
      </c>
      <c r="F21" s="1"/>
      <c r="G21" s="1"/>
      <c r="H21" s="4">
        <f t="shared" si="3"/>
        <v>3.3E-4</v>
      </c>
      <c r="I21" s="4">
        <f t="shared" si="4"/>
        <v>3.3E-4</v>
      </c>
      <c r="J21" s="5">
        <f t="shared" si="5"/>
        <v>1.0889999999999999E-3</v>
      </c>
      <c r="K21" s="4">
        <f t="shared" si="6"/>
        <v>1.0889999999999999E-3</v>
      </c>
      <c r="M21" s="4">
        <f t="shared" si="7"/>
        <v>0.33</v>
      </c>
      <c r="N21" s="6">
        <f t="shared" si="8"/>
        <v>0.33</v>
      </c>
      <c r="O21" s="4">
        <f t="shared" si="9"/>
        <v>1.089</v>
      </c>
      <c r="P21" s="4">
        <f t="shared" si="10"/>
        <v>1.089</v>
      </c>
    </row>
    <row r="22" spans="1:16" x14ac:dyDescent="0.25">
      <c r="A22" s="1" t="s">
        <v>36</v>
      </c>
      <c r="B22" s="1" t="s">
        <v>37</v>
      </c>
      <c r="C22" s="1">
        <v>3</v>
      </c>
      <c r="D22" s="4">
        <f t="shared" si="2"/>
        <v>3.3</v>
      </c>
      <c r="E22" s="1"/>
      <c r="F22" s="1">
        <v>1.1000000000000001E-3</v>
      </c>
      <c r="G22" s="1">
        <v>1.1000000000000001E-3</v>
      </c>
      <c r="H22" s="4">
        <f t="shared" si="3"/>
        <v>3.3E-3</v>
      </c>
      <c r="I22" s="4">
        <f t="shared" si="4"/>
        <v>3.3E-3</v>
      </c>
      <c r="J22" s="5">
        <f t="shared" si="5"/>
        <v>1.0889999999999999E-2</v>
      </c>
      <c r="K22" s="4">
        <f t="shared" si="6"/>
        <v>1.0889999999999999E-2</v>
      </c>
      <c r="M22" s="4">
        <f t="shared" si="7"/>
        <v>3.3</v>
      </c>
      <c r="N22" s="6">
        <f t="shared" si="8"/>
        <v>3.3</v>
      </c>
      <c r="O22" s="4">
        <f t="shared" si="9"/>
        <v>10.889999999999999</v>
      </c>
      <c r="P22" s="4">
        <f t="shared" si="10"/>
        <v>10.889999999999999</v>
      </c>
    </row>
    <row r="23" spans="1:16" x14ac:dyDescent="0.25">
      <c r="A23" s="1" t="s">
        <v>36</v>
      </c>
      <c r="B23" s="1" t="s">
        <v>38</v>
      </c>
      <c r="C23" s="1">
        <v>2</v>
      </c>
      <c r="D23" s="4">
        <f t="shared" si="2"/>
        <v>3.3</v>
      </c>
      <c r="E23" s="1"/>
      <c r="F23" s="1">
        <v>2.5000000000000001E-4</v>
      </c>
      <c r="G23" s="1">
        <f>F23</f>
        <v>2.5000000000000001E-4</v>
      </c>
      <c r="H23" s="4">
        <f t="shared" si="3"/>
        <v>5.0000000000000001E-4</v>
      </c>
      <c r="I23" s="4">
        <f t="shared" si="4"/>
        <v>5.0000000000000001E-4</v>
      </c>
      <c r="J23" s="5">
        <f t="shared" si="5"/>
        <v>1.65E-3</v>
      </c>
      <c r="K23" s="4">
        <f t="shared" si="6"/>
        <v>1.65E-3</v>
      </c>
      <c r="M23" s="4">
        <f t="shared" si="7"/>
        <v>0.5</v>
      </c>
      <c r="N23" s="6">
        <f t="shared" si="8"/>
        <v>0.5</v>
      </c>
      <c r="O23" s="4">
        <f t="shared" si="9"/>
        <v>1.65</v>
      </c>
      <c r="P23" s="4">
        <f t="shared" si="10"/>
        <v>1.65</v>
      </c>
    </row>
    <row r="24" spans="1:16" x14ac:dyDescent="0.25">
      <c r="A24" s="1" t="s">
        <v>36</v>
      </c>
      <c r="B24" s="1" t="s">
        <v>39</v>
      </c>
      <c r="C24" s="1">
        <v>3</v>
      </c>
      <c r="D24" s="4">
        <f t="shared" si="2"/>
        <v>3.3</v>
      </c>
      <c r="E24" s="1">
        <v>100000</v>
      </c>
      <c r="F24" s="1"/>
      <c r="G24" s="1"/>
      <c r="H24" s="4">
        <f t="shared" si="3"/>
        <v>9.8999999999999994E-5</v>
      </c>
      <c r="I24" s="4">
        <f t="shared" si="4"/>
        <v>9.8999999999999994E-5</v>
      </c>
      <c r="J24" s="5">
        <f t="shared" si="5"/>
        <v>3.2669999999999997E-4</v>
      </c>
      <c r="K24" s="4">
        <f t="shared" si="6"/>
        <v>3.2669999999999997E-4</v>
      </c>
      <c r="M24" s="4">
        <f t="shared" si="7"/>
        <v>9.8999999999999991E-2</v>
      </c>
      <c r="N24" s="6">
        <f t="shared" si="8"/>
        <v>9.8999999999999991E-2</v>
      </c>
      <c r="O24" s="4">
        <f t="shared" si="9"/>
        <v>0.32669999999999999</v>
      </c>
      <c r="P24" s="4">
        <f t="shared" si="10"/>
        <v>0.32669999999999999</v>
      </c>
    </row>
    <row r="25" spans="1:16" x14ac:dyDescent="0.25">
      <c r="A25" s="1" t="s">
        <v>36</v>
      </c>
      <c r="B25" s="1" t="s">
        <v>40</v>
      </c>
      <c r="C25" s="1">
        <v>1</v>
      </c>
      <c r="D25" s="4">
        <f t="shared" si="2"/>
        <v>3.3</v>
      </c>
      <c r="E25" s="1"/>
      <c r="F25" s="1">
        <v>4.0000000000000001E-3</v>
      </c>
      <c r="G25" s="1">
        <f>F25</f>
        <v>4.0000000000000001E-3</v>
      </c>
      <c r="H25" s="4">
        <f t="shared" si="3"/>
        <v>4.0000000000000001E-3</v>
      </c>
      <c r="I25" s="4">
        <f t="shared" si="4"/>
        <v>4.0000000000000001E-3</v>
      </c>
      <c r="J25" s="5">
        <f t="shared" si="5"/>
        <v>1.32E-2</v>
      </c>
      <c r="K25" s="4">
        <f t="shared" si="6"/>
        <v>1.32E-2</v>
      </c>
      <c r="M25" s="4">
        <f t="shared" si="7"/>
        <v>4</v>
      </c>
      <c r="N25" s="6">
        <f t="shared" si="8"/>
        <v>4</v>
      </c>
      <c r="O25" s="4">
        <f t="shared" si="9"/>
        <v>13.2</v>
      </c>
      <c r="P25" s="4">
        <f t="shared" si="10"/>
        <v>13.2</v>
      </c>
    </row>
    <row r="26" spans="1:16" x14ac:dyDescent="0.25">
      <c r="A26" s="1" t="s">
        <v>71</v>
      </c>
      <c r="B26" s="1" t="s">
        <v>38</v>
      </c>
      <c r="C26" s="1">
        <v>1</v>
      </c>
      <c r="D26" s="4">
        <f t="shared" si="2"/>
        <v>3.3</v>
      </c>
      <c r="E26" s="1"/>
      <c r="F26" s="1">
        <v>2.5000000000000001E-4</v>
      </c>
      <c r="G26" s="1">
        <f>F26</f>
        <v>2.5000000000000001E-4</v>
      </c>
      <c r="H26" s="4">
        <f t="shared" si="3"/>
        <v>2.5000000000000001E-4</v>
      </c>
      <c r="I26" s="4">
        <f t="shared" si="4"/>
        <v>2.5000000000000001E-4</v>
      </c>
      <c r="J26" s="5">
        <f t="shared" si="5"/>
        <v>8.25E-4</v>
      </c>
      <c r="K26" s="4">
        <f t="shared" si="6"/>
        <v>8.25E-4</v>
      </c>
      <c r="M26" s="4">
        <f t="shared" si="7"/>
        <v>0.25</v>
      </c>
      <c r="N26" s="6">
        <f t="shared" si="8"/>
        <v>0.25</v>
      </c>
      <c r="O26" s="4">
        <f t="shared" si="9"/>
        <v>0.82499999999999996</v>
      </c>
      <c r="P26" s="4">
        <f t="shared" si="10"/>
        <v>0.82499999999999996</v>
      </c>
    </row>
    <row r="27" spans="1:16" x14ac:dyDescent="0.25">
      <c r="A27" s="1" t="s">
        <v>71</v>
      </c>
      <c r="B27" s="1" t="s">
        <v>41</v>
      </c>
      <c r="C27" s="1">
        <v>5</v>
      </c>
      <c r="D27" s="4">
        <f t="shared" si="2"/>
        <v>3.3</v>
      </c>
      <c r="E27" s="1"/>
      <c r="F27" s="1">
        <v>7.2999999999999996E-4</v>
      </c>
      <c r="G27" s="1">
        <f>F27</f>
        <v>7.2999999999999996E-4</v>
      </c>
      <c r="H27" s="4">
        <f t="shared" si="3"/>
        <v>3.6499999999999996E-3</v>
      </c>
      <c r="I27" s="4">
        <f t="shared" si="4"/>
        <v>3.6499999999999996E-3</v>
      </c>
      <c r="J27" s="5">
        <f t="shared" si="5"/>
        <v>1.2044999999999998E-2</v>
      </c>
      <c r="K27" s="4">
        <f t="shared" si="6"/>
        <v>1.2044999999999998E-2</v>
      </c>
      <c r="M27" s="4">
        <f t="shared" si="7"/>
        <v>3.6499999999999995</v>
      </c>
      <c r="N27" s="6">
        <f t="shared" si="8"/>
        <v>3.6499999999999995</v>
      </c>
      <c r="O27" s="4">
        <f t="shared" si="9"/>
        <v>12.044999999999998</v>
      </c>
      <c r="P27" s="4">
        <f t="shared" si="10"/>
        <v>12.044999999999998</v>
      </c>
    </row>
    <row r="28" spans="1:16" x14ac:dyDescent="0.25">
      <c r="A28" s="1" t="s">
        <v>71</v>
      </c>
      <c r="B28" s="1" t="s">
        <v>42</v>
      </c>
      <c r="C28" s="1">
        <v>2</v>
      </c>
      <c r="D28" s="4">
        <f t="shared" si="2"/>
        <v>3.3</v>
      </c>
      <c r="E28" s="1"/>
      <c r="F28" s="1">
        <v>6.7000000000000002E-4</v>
      </c>
      <c r="G28" s="1">
        <f>F28</f>
        <v>6.7000000000000002E-4</v>
      </c>
      <c r="H28" s="4">
        <f t="shared" si="3"/>
        <v>1.34E-3</v>
      </c>
      <c r="I28" s="4">
        <f t="shared" si="4"/>
        <v>1.34E-3</v>
      </c>
      <c r="J28" s="5">
        <f t="shared" si="5"/>
        <v>4.4219999999999997E-3</v>
      </c>
      <c r="K28" s="4">
        <f t="shared" si="6"/>
        <v>4.4219999999999997E-3</v>
      </c>
      <c r="M28" s="4">
        <f t="shared" si="7"/>
        <v>1.34</v>
      </c>
      <c r="N28" s="6">
        <f t="shared" si="8"/>
        <v>1.34</v>
      </c>
      <c r="O28" s="4">
        <f t="shared" si="9"/>
        <v>4.4219999999999997</v>
      </c>
      <c r="P28" s="4">
        <f t="shared" si="10"/>
        <v>4.4219999999999997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E8AA2-244B-4BFD-A274-D2E68F59D668}">
  <dimension ref="A1:P3"/>
  <sheetViews>
    <sheetView workbookViewId="0">
      <selection activeCell="D3" sqref="D3"/>
    </sheetView>
  </sheetViews>
  <sheetFormatPr baseColWidth="10" defaultRowHeight="15" x14ac:dyDescent="0.25"/>
  <cols>
    <col min="1" max="1" width="15.7109375" customWidth="1"/>
    <col min="2" max="2" width="25.7109375" customWidth="1"/>
    <col min="3" max="3" width="8.42578125" bestFit="1" customWidth="1"/>
    <col min="4" max="4" width="10.28515625" bestFit="1" customWidth="1"/>
    <col min="5" max="5" width="13.5703125" bestFit="1" customWidth="1"/>
    <col min="6" max="6" width="26.5703125" bestFit="1" customWidth="1"/>
    <col min="7" max="7" width="23.85546875" bestFit="1" customWidth="1"/>
    <col min="8" max="8" width="17.42578125" bestFit="1" customWidth="1"/>
    <col min="9" max="9" width="14.7109375" bestFit="1" customWidth="1"/>
    <col min="10" max="10" width="17.140625" bestFit="1" customWidth="1"/>
    <col min="11" max="11" width="14.42578125" bestFit="1" customWidth="1"/>
    <col min="12" max="12" width="2.85546875" customWidth="1"/>
    <col min="13" max="13" width="19.140625" bestFit="1" customWidth="1"/>
    <col min="14" max="14" width="16.5703125" bestFit="1" customWidth="1"/>
    <col min="15" max="15" width="18.85546875" bestFit="1" customWidth="1"/>
    <col min="16" max="16" width="16.28515625" bestFit="1" customWidth="1"/>
  </cols>
  <sheetData>
    <row r="1" spans="1:16" x14ac:dyDescent="0.25">
      <c r="A1" s="1" t="s">
        <v>0</v>
      </c>
      <c r="B1" s="1" t="s">
        <v>1</v>
      </c>
      <c r="C1" s="1" t="s">
        <v>17</v>
      </c>
      <c r="D1" s="1" t="s">
        <v>18</v>
      </c>
      <c r="E1" s="1" t="s">
        <v>43</v>
      </c>
      <c r="F1" s="1" t="s">
        <v>24</v>
      </c>
      <c r="G1" s="1" t="s">
        <v>25</v>
      </c>
      <c r="H1" s="1" t="s">
        <v>5</v>
      </c>
      <c r="I1" s="1" t="s">
        <v>6</v>
      </c>
      <c r="J1" s="1" t="s">
        <v>10</v>
      </c>
      <c r="K1" s="1" t="s">
        <v>9</v>
      </c>
      <c r="M1" s="1" t="s">
        <v>7</v>
      </c>
      <c r="N1" s="1" t="s">
        <v>8</v>
      </c>
      <c r="O1" s="1" t="s">
        <v>11</v>
      </c>
      <c r="P1" s="1" t="s">
        <v>12</v>
      </c>
    </row>
    <row r="2" spans="1:16" x14ac:dyDescent="0.25">
      <c r="A2" s="1" t="s">
        <v>28</v>
      </c>
      <c r="B2" s="1"/>
      <c r="C2" s="1"/>
      <c r="D2" s="4">
        <f>'Power consumption Overview'!B8</f>
        <v>3.3</v>
      </c>
      <c r="E2" s="1"/>
      <c r="F2" s="1"/>
      <c r="G2" s="1"/>
      <c r="H2" s="4">
        <f>SUM(H3:H1048576)</f>
        <v>0</v>
      </c>
      <c r="I2" s="4">
        <f t="shared" ref="I2:P2" si="0">SUM(I3:I1048576)</f>
        <v>0</v>
      </c>
      <c r="J2" s="4">
        <f t="shared" si="0"/>
        <v>0</v>
      </c>
      <c r="K2" s="4">
        <f t="shared" si="0"/>
        <v>0</v>
      </c>
      <c r="M2" s="4">
        <f t="shared" si="0"/>
        <v>0</v>
      </c>
      <c r="N2" s="4">
        <f t="shared" si="0"/>
        <v>0</v>
      </c>
      <c r="O2" s="4">
        <f t="shared" si="0"/>
        <v>0</v>
      </c>
      <c r="P2" s="4">
        <f t="shared" si="0"/>
        <v>0</v>
      </c>
    </row>
    <row r="3" spans="1:16" x14ac:dyDescent="0.25">
      <c r="A3" s="1"/>
      <c r="B3" s="1"/>
      <c r="C3" s="1">
        <v>1</v>
      </c>
      <c r="D3" s="4">
        <f>D$2</f>
        <v>3.3</v>
      </c>
      <c r="E3" s="1"/>
      <c r="F3" s="1"/>
      <c r="G3" s="1"/>
      <c r="H3" s="4">
        <f>IF(ISBLANK($E3),F3*$C3,$D3/$E3*$C3+F3*$C3)</f>
        <v>0</v>
      </c>
      <c r="I3" s="4">
        <f>IF(ISBLANK($E3),G3*$C3,$D3/$E3*$C3+G3*$C3)</f>
        <v>0</v>
      </c>
      <c r="J3" s="4">
        <f>$D3*H3</f>
        <v>0</v>
      </c>
      <c r="K3" s="4">
        <f>$D3*I3</f>
        <v>0</v>
      </c>
      <c r="M3" s="4">
        <f>H3*1000</f>
        <v>0</v>
      </c>
      <c r="N3" s="4">
        <f t="shared" ref="N3:P3" si="1">I3*1000</f>
        <v>0</v>
      </c>
      <c r="O3" s="4">
        <f t="shared" si="1"/>
        <v>0</v>
      </c>
      <c r="P3" s="4">
        <f t="shared" si="1"/>
        <v>0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585B7-C0ED-41A2-8E4C-10E4AA6587DD}">
  <dimension ref="A1:P6"/>
  <sheetViews>
    <sheetView workbookViewId="0">
      <selection activeCell="F4" sqref="F4"/>
    </sheetView>
  </sheetViews>
  <sheetFormatPr baseColWidth="10" defaultRowHeight="15" x14ac:dyDescent="0.25"/>
  <cols>
    <col min="1" max="1" width="15.7109375" customWidth="1"/>
    <col min="2" max="2" width="25.7109375" customWidth="1"/>
    <col min="3" max="3" width="8.42578125" bestFit="1" customWidth="1"/>
    <col min="4" max="4" width="10.28515625" bestFit="1" customWidth="1"/>
    <col min="5" max="5" width="13.5703125" bestFit="1" customWidth="1"/>
    <col min="6" max="6" width="26.5703125" bestFit="1" customWidth="1"/>
    <col min="7" max="7" width="23.85546875" bestFit="1" customWidth="1"/>
    <col min="8" max="8" width="17.42578125" bestFit="1" customWidth="1"/>
    <col min="9" max="9" width="14.7109375" bestFit="1" customWidth="1"/>
    <col min="10" max="10" width="17.140625" bestFit="1" customWidth="1"/>
    <col min="11" max="11" width="14.42578125" bestFit="1" customWidth="1"/>
    <col min="12" max="12" width="2.85546875" customWidth="1"/>
    <col min="13" max="13" width="19.140625" bestFit="1" customWidth="1"/>
    <col min="14" max="14" width="16.5703125" bestFit="1" customWidth="1"/>
    <col min="15" max="15" width="18.85546875" bestFit="1" customWidth="1"/>
    <col min="16" max="16" width="16.28515625" bestFit="1" customWidth="1"/>
  </cols>
  <sheetData>
    <row r="1" spans="1:16" x14ac:dyDescent="0.25">
      <c r="A1" s="1" t="s">
        <v>0</v>
      </c>
      <c r="B1" s="1" t="s">
        <v>1</v>
      </c>
      <c r="C1" s="1" t="s">
        <v>17</v>
      </c>
      <c r="D1" s="1" t="s">
        <v>18</v>
      </c>
      <c r="E1" s="1" t="s">
        <v>43</v>
      </c>
      <c r="F1" s="1" t="s">
        <v>24</v>
      </c>
      <c r="G1" s="1" t="s">
        <v>25</v>
      </c>
      <c r="H1" s="1" t="s">
        <v>5</v>
      </c>
      <c r="I1" s="1" t="s">
        <v>6</v>
      </c>
      <c r="J1" s="1" t="s">
        <v>10</v>
      </c>
      <c r="K1" s="1" t="s">
        <v>9</v>
      </c>
      <c r="M1" s="1" t="s">
        <v>7</v>
      </c>
      <c r="N1" s="1" t="s">
        <v>8</v>
      </c>
      <c r="O1" s="1" t="s">
        <v>11</v>
      </c>
      <c r="P1" s="1" t="s">
        <v>12</v>
      </c>
    </row>
    <row r="2" spans="1:16" x14ac:dyDescent="0.25">
      <c r="A2" s="1" t="s">
        <v>28</v>
      </c>
      <c r="B2" s="1"/>
      <c r="C2" s="1"/>
      <c r="D2" s="4">
        <f>'Power consumption Overview'!B9</f>
        <v>4</v>
      </c>
      <c r="E2" s="1"/>
      <c r="F2" s="1"/>
      <c r="G2" s="1"/>
      <c r="H2" s="4">
        <f>SUM(H3:H1048576)</f>
        <v>0.20058000000000001</v>
      </c>
      <c r="I2" s="4">
        <f t="shared" ref="I2:P2" si="0">SUM(I3:I1048576)</f>
        <v>0.20058000000000001</v>
      </c>
      <c r="J2" s="4">
        <f t="shared" si="0"/>
        <v>0.80232000000000003</v>
      </c>
      <c r="K2" s="4">
        <f t="shared" si="0"/>
        <v>0.80232000000000003</v>
      </c>
      <c r="M2" s="4">
        <f t="shared" si="0"/>
        <v>200.57999999999998</v>
      </c>
      <c r="N2" s="4">
        <f t="shared" si="0"/>
        <v>200.57999999999998</v>
      </c>
      <c r="O2" s="4">
        <f t="shared" si="0"/>
        <v>802.31999999999994</v>
      </c>
      <c r="P2" s="4">
        <f t="shared" si="0"/>
        <v>802.31999999999994</v>
      </c>
    </row>
    <row r="3" spans="1:16" x14ac:dyDescent="0.25">
      <c r="A3" s="1" t="s">
        <v>61</v>
      </c>
      <c r="B3" s="1" t="s">
        <v>62</v>
      </c>
      <c r="C3" s="1">
        <v>1</v>
      </c>
      <c r="D3" s="4">
        <f>D$2</f>
        <v>4</v>
      </c>
      <c r="E3" s="1"/>
      <c r="F3" s="1">
        <v>2.9E-4</v>
      </c>
      <c r="G3" s="1">
        <v>2.9E-4</v>
      </c>
      <c r="H3" s="4">
        <f>IF(ISBLANK($E3),F3*$C3,$D3/$E3*$C3+F3*$C3)</f>
        <v>2.9E-4</v>
      </c>
      <c r="I3" s="4">
        <f>IF(ISBLANK($E3),G3*$C3,$D3/$E3*$C3+G3*$C3)</f>
        <v>2.9E-4</v>
      </c>
      <c r="J3" s="4">
        <f>$D3*H3</f>
        <v>1.16E-3</v>
      </c>
      <c r="K3" s="4">
        <f>$D3*I3</f>
        <v>1.16E-3</v>
      </c>
      <c r="M3" s="4">
        <f>H3*1000</f>
        <v>0.28999999999999998</v>
      </c>
      <c r="N3" s="4">
        <f t="shared" ref="N3:P3" si="1">I3*1000</f>
        <v>0.28999999999999998</v>
      </c>
      <c r="O3" s="4">
        <f t="shared" si="1"/>
        <v>1.1599999999999999</v>
      </c>
      <c r="P3" s="4">
        <f t="shared" si="1"/>
        <v>1.1599999999999999</v>
      </c>
    </row>
    <row r="4" spans="1:16" x14ac:dyDescent="0.25">
      <c r="A4" s="1" t="s">
        <v>61</v>
      </c>
      <c r="B4" s="1" t="s">
        <v>63</v>
      </c>
      <c r="C4" s="1">
        <v>2</v>
      </c>
      <c r="D4" s="4">
        <f t="shared" ref="D4:D6" si="2">D$2</f>
        <v>4</v>
      </c>
      <c r="E4" s="1"/>
      <c r="F4" s="1">
        <v>0.02</v>
      </c>
      <c r="G4" s="1">
        <v>0.02</v>
      </c>
      <c r="H4" s="4">
        <f t="shared" ref="H4:H6" si="3">IF(ISBLANK($E4),F4*$C4,$D4/$E4*$C4+F4*$C4)</f>
        <v>0.04</v>
      </c>
      <c r="I4" s="4">
        <f t="shared" ref="I4:I6" si="4">IF(ISBLANK($E4),G4*$C4,$D4/$E4*$C4+G4*$C4)</f>
        <v>0.04</v>
      </c>
      <c r="J4" s="4">
        <f t="shared" ref="J4:J6" si="5">$D4*H4</f>
        <v>0.16</v>
      </c>
      <c r="K4" s="4">
        <f t="shared" ref="K4:K6" si="6">$D4*I4</f>
        <v>0.16</v>
      </c>
      <c r="M4" s="4">
        <f t="shared" ref="M4:M6" si="7">H4*1000</f>
        <v>40</v>
      </c>
      <c r="N4" s="4">
        <f t="shared" ref="N4:N6" si="8">I4*1000</f>
        <v>40</v>
      </c>
      <c r="O4" s="4">
        <f t="shared" ref="O4:O6" si="9">J4*1000</f>
        <v>160</v>
      </c>
      <c r="P4" s="4">
        <f t="shared" ref="P4:P6" si="10">K4*1000</f>
        <v>160</v>
      </c>
    </row>
    <row r="5" spans="1:16" x14ac:dyDescent="0.25">
      <c r="A5" s="1" t="s">
        <v>65</v>
      </c>
      <c r="B5" s="1" t="s">
        <v>64</v>
      </c>
      <c r="C5" s="1">
        <v>4</v>
      </c>
      <c r="D5" s="4">
        <f t="shared" si="2"/>
        <v>4</v>
      </c>
      <c r="E5" s="1"/>
      <c r="F5" s="1">
        <v>0.04</v>
      </c>
      <c r="G5" s="1">
        <v>0.04</v>
      </c>
      <c r="H5" s="4">
        <f t="shared" si="3"/>
        <v>0.16</v>
      </c>
      <c r="I5" s="4">
        <f t="shared" si="4"/>
        <v>0.16</v>
      </c>
      <c r="J5" s="4">
        <f t="shared" si="5"/>
        <v>0.64</v>
      </c>
      <c r="K5" s="4">
        <f t="shared" si="6"/>
        <v>0.64</v>
      </c>
      <c r="M5" s="4">
        <f t="shared" si="7"/>
        <v>160</v>
      </c>
      <c r="N5" s="4">
        <f t="shared" si="8"/>
        <v>160</v>
      </c>
      <c r="O5" s="4">
        <f t="shared" si="9"/>
        <v>640</v>
      </c>
      <c r="P5" s="4">
        <f t="shared" si="10"/>
        <v>640</v>
      </c>
    </row>
    <row r="6" spans="1:16" x14ac:dyDescent="0.25">
      <c r="A6" s="1" t="s">
        <v>61</v>
      </c>
      <c r="B6" s="1" t="s">
        <v>68</v>
      </c>
      <c r="C6" s="1">
        <v>1</v>
      </c>
      <c r="D6" s="4">
        <f t="shared" si="2"/>
        <v>4</v>
      </c>
      <c r="E6" s="1"/>
      <c r="F6" s="1">
        <v>2.9E-4</v>
      </c>
      <c r="G6" s="1">
        <v>2.9E-4</v>
      </c>
      <c r="H6" s="4">
        <f t="shared" si="3"/>
        <v>2.9E-4</v>
      </c>
      <c r="I6" s="4">
        <f t="shared" si="4"/>
        <v>2.9E-4</v>
      </c>
      <c r="J6" s="4">
        <f t="shared" si="5"/>
        <v>1.16E-3</v>
      </c>
      <c r="K6" s="4">
        <f t="shared" si="6"/>
        <v>1.16E-3</v>
      </c>
      <c r="M6" s="4">
        <f t="shared" si="7"/>
        <v>0.28999999999999998</v>
      </c>
      <c r="N6" s="4">
        <f t="shared" si="8"/>
        <v>0.28999999999999998</v>
      </c>
      <c r="O6" s="4">
        <f t="shared" si="9"/>
        <v>1.1599999999999999</v>
      </c>
      <c r="P6" s="4">
        <f t="shared" si="10"/>
        <v>1.1599999999999999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F6383-098D-4682-A4FB-E9550EA3882E}">
  <dimension ref="A1:P3"/>
  <sheetViews>
    <sheetView workbookViewId="0">
      <selection activeCell="A4" sqref="A4"/>
    </sheetView>
  </sheetViews>
  <sheetFormatPr baseColWidth="10" defaultRowHeight="15" x14ac:dyDescent="0.25"/>
  <cols>
    <col min="1" max="1" width="15.7109375" customWidth="1"/>
    <col min="2" max="2" width="25.7109375" customWidth="1"/>
    <col min="3" max="3" width="8.42578125" bestFit="1" customWidth="1"/>
    <col min="4" max="4" width="10.28515625" bestFit="1" customWidth="1"/>
    <col min="5" max="5" width="13.5703125" bestFit="1" customWidth="1"/>
    <col min="6" max="6" width="26.5703125" bestFit="1" customWidth="1"/>
    <col min="7" max="7" width="23.85546875" bestFit="1" customWidth="1"/>
    <col min="8" max="8" width="17.42578125" bestFit="1" customWidth="1"/>
    <col min="9" max="9" width="14.7109375" bestFit="1" customWidth="1"/>
    <col min="10" max="10" width="17.140625" bestFit="1" customWidth="1"/>
    <col min="11" max="11" width="14.42578125" bestFit="1" customWidth="1"/>
    <col min="12" max="12" width="2.85546875" customWidth="1"/>
    <col min="13" max="13" width="19.140625" bestFit="1" customWidth="1"/>
    <col min="14" max="14" width="16.5703125" bestFit="1" customWidth="1"/>
    <col min="15" max="15" width="18.85546875" bestFit="1" customWidth="1"/>
    <col min="16" max="16" width="16.28515625" bestFit="1" customWidth="1"/>
  </cols>
  <sheetData>
    <row r="1" spans="1:16" x14ac:dyDescent="0.25">
      <c r="A1" s="1" t="s">
        <v>0</v>
      </c>
      <c r="B1" s="1" t="s">
        <v>1</v>
      </c>
      <c r="C1" s="1" t="s">
        <v>17</v>
      </c>
      <c r="D1" s="1" t="s">
        <v>18</v>
      </c>
      <c r="E1" s="1" t="s">
        <v>43</v>
      </c>
      <c r="F1" s="1" t="s">
        <v>24</v>
      </c>
      <c r="G1" s="1" t="s">
        <v>25</v>
      </c>
      <c r="H1" s="1" t="s">
        <v>5</v>
      </c>
      <c r="I1" s="1" t="s">
        <v>6</v>
      </c>
      <c r="J1" s="2" t="s">
        <v>10</v>
      </c>
      <c r="K1" s="1" t="s">
        <v>9</v>
      </c>
      <c r="M1" s="1" t="s">
        <v>7</v>
      </c>
      <c r="N1" s="3" t="s">
        <v>8</v>
      </c>
      <c r="O1" s="1" t="s">
        <v>11</v>
      </c>
      <c r="P1" s="1" t="s">
        <v>12</v>
      </c>
    </row>
    <row r="2" spans="1:16" x14ac:dyDescent="0.25">
      <c r="A2" s="1" t="s">
        <v>28</v>
      </c>
      <c r="B2" s="1"/>
      <c r="C2" s="1"/>
      <c r="D2" s="4">
        <f>'Power consumption Overview'!B10</f>
        <v>3.3</v>
      </c>
      <c r="E2" s="1"/>
      <c r="F2" s="1"/>
      <c r="G2" s="1"/>
      <c r="H2" s="4">
        <f>SUM(H3:H1048576)</f>
        <v>9.9999999999999995E-7</v>
      </c>
      <c r="I2" s="4">
        <f>SUM(I3:I1048576)</f>
        <v>9.9999999999999995E-8</v>
      </c>
      <c r="J2" s="5">
        <f>SUM(J3:J1048576)</f>
        <v>3.2999999999999997E-6</v>
      </c>
      <c r="K2" s="4">
        <f>SUM(K3:K1048576)</f>
        <v>3.2999999999999996E-7</v>
      </c>
      <c r="M2" s="4">
        <f>SUM(M3:M1048576)</f>
        <v>1E-3</v>
      </c>
      <c r="N2" s="6">
        <f>SUM(N3:N1048576)</f>
        <v>9.9999999999999991E-5</v>
      </c>
      <c r="O2" s="4">
        <f>SUM(O3:O1048576)</f>
        <v>3.2999999999999995E-3</v>
      </c>
      <c r="P2" s="4">
        <f>SUM(P3:P1048576)</f>
        <v>3.2999999999999994E-4</v>
      </c>
    </row>
    <row r="3" spans="1:16" x14ac:dyDescent="0.25">
      <c r="A3" s="1" t="s">
        <v>71</v>
      </c>
      <c r="B3" s="1" t="s">
        <v>70</v>
      </c>
      <c r="C3" s="1">
        <v>1</v>
      </c>
      <c r="D3" s="4">
        <f>D$2</f>
        <v>3.3</v>
      </c>
      <c r="E3" s="1"/>
      <c r="F3" s="1">
        <v>9.9999999999999995E-7</v>
      </c>
      <c r="G3" s="1">
        <v>9.9999999999999995E-8</v>
      </c>
      <c r="H3" s="4">
        <f>IF(ISBLANK($E3),F3*$C3,$D3/$E3*$C3+F3*$C3)</f>
        <v>9.9999999999999995E-7</v>
      </c>
      <c r="I3" s="4">
        <f>IF(ISBLANK($E3),G3*$C3,$D3/$E3*$C3+G3*$C3)</f>
        <v>9.9999999999999995E-8</v>
      </c>
      <c r="J3" s="5">
        <f>$D3*H3</f>
        <v>3.2999999999999997E-6</v>
      </c>
      <c r="K3" s="4">
        <f>$D3*I3</f>
        <v>3.2999999999999996E-7</v>
      </c>
      <c r="M3" s="4">
        <f>H3*1000</f>
        <v>1E-3</v>
      </c>
      <c r="N3" s="6">
        <f t="shared" ref="N3:P3" si="0">I3*1000</f>
        <v>9.9999999999999991E-5</v>
      </c>
      <c r="O3" s="4">
        <f t="shared" si="0"/>
        <v>3.2999999999999995E-3</v>
      </c>
      <c r="P3" s="4">
        <f t="shared" si="0"/>
        <v>3.2999999999999994E-4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Power consumption Overview</vt:lpstr>
      <vt:lpstr>VCC</vt:lpstr>
      <vt:lpstr>+15V</vt:lpstr>
      <vt:lpstr>+3V3</vt:lpstr>
      <vt:lpstr>+5V</vt:lpstr>
      <vt:lpstr>+3V3_A</vt:lpstr>
      <vt:lpstr>+3V3_UI</vt:lpstr>
      <vt:lpstr>VLED</vt:lpstr>
      <vt:lpstr>+3V3_STBY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Winz Daniel</dc:creator>
  <cp:lastModifiedBy>Winz Daniel</cp:lastModifiedBy>
  <dcterms:created xsi:type="dcterms:W3CDTF">2025-11-27T17:25:05Z</dcterms:created>
  <dcterms:modified xsi:type="dcterms:W3CDTF">2026-03-04T17:29:22Z</dcterms:modified>
</cp:coreProperties>
</file>